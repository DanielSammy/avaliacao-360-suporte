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anielSammy-SpaceInf\Downloads\360\"/>
    </mc:Choice>
  </mc:AlternateContent>
  <xr:revisionPtr revIDLastSave="0" documentId="13_ncr:1_{FE748AB1-9F16-4375-939F-C77D7F1C8857}" xr6:coauthVersionLast="47" xr6:coauthVersionMax="47" xr10:uidLastSave="{00000000-0000-0000-0000-000000000000}"/>
  <bookViews>
    <workbookView xWindow="-120" yWindow="-120" windowWidth="20730" windowHeight="11040" firstSheet="12" activeTab="14" xr2:uid="{00000000-000D-0000-FFFF-FFFF00000000}"/>
  </bookViews>
  <sheets>
    <sheet name="Planilha1" sheetId="1" state="hidden" r:id="rId1"/>
    <sheet name="Media Operador x Criterio" sheetId="6" r:id="rId2"/>
    <sheet name="Soma Media Operador x Criterio" sheetId="7" r:id="rId3"/>
    <sheet name="AuxCriterios" sheetId="8" r:id="rId4"/>
    <sheet name="% Aproveitamento geral" sheetId="9" r:id="rId5"/>
    <sheet name="Validacoes" sheetId="18" r:id="rId6"/>
    <sheet name="Parametros" sheetId="11" r:id="rId7"/>
    <sheet name="Quantitativo" sheetId="15" r:id="rId8"/>
    <sheet name="MetaPri" sheetId="17" r:id="rId9"/>
    <sheet name="Estrelinhas" sheetId="16" r:id="rId10"/>
    <sheet name="--------------------------" sheetId="20" r:id="rId11"/>
    <sheet name="-------------------------------" sheetId="19" r:id="rId12"/>
    <sheet name="DimOperador" sheetId="10" r:id="rId13"/>
    <sheet name="Operador - Lançamentos Manuais" sheetId="14" r:id="rId14"/>
    <sheet name="Report Fechamento" sheetId="2" r:id="rId15"/>
    <sheet name="Planilha2" sheetId="21" r:id="rId16"/>
  </sheets>
  <definedNames>
    <definedName name="_xlnm.Print_Area" localSheetId="0">Planilha1!$K$6:$T$60</definedName>
    <definedName name="_xlnm.Print_Area" localSheetId="14">'Report Fechamento'!$D$8:$DP$57</definedName>
    <definedName name="DadosExternos_1" localSheetId="9" hidden="1">Estrelinhas!$A$1:$B$2</definedName>
    <definedName name="DadosExternos_1" localSheetId="1" hidden="1">'Media Operador x Criterio'!$B$5:$F$161</definedName>
    <definedName name="DadosExternos_1" localSheetId="8" hidden="1">MetaPri!$A$1:$D$2</definedName>
    <definedName name="DadosExternos_1" localSheetId="7" hidden="1">Quantitativo!$A$1:$B$2</definedName>
    <definedName name="DadosExternos_1" localSheetId="5" hidden="1">Validacoes!$A$1:$B$10</definedName>
    <definedName name="DadosExternos_2" localSheetId="2" hidden="1">'Soma Media Operador x Criterio'!$A$1:$B$13</definedName>
    <definedName name="DadosExternos_3" localSheetId="3" hidden="1">AuxCriterios!$B$1:$D$14</definedName>
    <definedName name="DadosExternos_4" localSheetId="4" hidden="1">'% Aproveitamento geral'!$B$6:$C$18</definedName>
    <definedName name="DadosExternos_5" localSheetId="12" hidden="1">DimOperador!$A$1:$B$13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ase_e24ced24-ee82-42d9-ab79-044169055a44" name="Base" connection="Consulta - Base"/>
          <x15:modelTable id="Media Operador x Criterio_979573e5-4f25-46e8-af02-3055fcc2e248" name="Media Operador x Criterio" connection="Consulta - Media Operador x Criterio"/>
          <x15:modelTable id="Media Ponderada_805c69ea-61bf-462c-b619-39c4516ae9b7" name="Media Ponderada" connection="Consulta - Media Ponderada"/>
          <x15:modelTable id="AuxCriterios_ad4786ab-0a2f-40d3-a246-9950c7a8ec8b" name="AuxCriterios" connection="Consulta - AuxCriterios"/>
          <x15:modelTable id="AuxQtdeCriterios_33c32a07-276d-45ee-9131-01095cfcc607" name="AuxQtdeCriterios" connection="Consulta - AuxQtdeCriterios"/>
          <x15:modelTable id="Aproveitamento geral_2660c688-f56c-467d-b0fc-5fe2bddb1d7e" name="Aproveitamento geral" connection="Consulta - % Aproveitamento geral"/>
          <x15:modelTable id="DimOperador_69a12299-0319-4c55-9c13-833303807f1a" name="DimOperador" connection="Consulta - DimOperador"/>
          <x15:modelTable id="ParametroRelatorioGoogle_be7b7d50-ff8b-4c3c-b9d2-0ac67d9863fb" name="ParametroRelatorioGoogle" connection="Consulta - ParametroRelatorioGoogle"/>
          <x15:modelTable id="ParametroMesFechado_34c9cce8-efcf-40ed-8d04-64bd181edfec" name="ParametroMesFechado" connection="Consulta - ParametroMesFechado"/>
          <x15:modelTable id="Base Atendimentos_db9190d7-db69-4667-b5be-734c57a9f9e9" name="Base Atendimentos" connection="Consulta - Base Atendimentos"/>
          <x15:modelTable id="AtendimentosQuantitativo_7b88d259-d97e-484a-9d7a-8ded1241efbe" name="AtendimentosQuantitativo" connection="Consulta - AtendimentosQuantitativo"/>
          <x15:modelTable id="AtendimentosAvaliacao_30d5e326-974f-4d81-9041-c0d7fdbb1b18" name="AtendimentosAvaliacao" connection="Consulta - AtendimentosAvaliacao"/>
          <x15:modelTable id="OperadoresMySuiteXAvaliacao_8d33e680-5089-414d-8491-967b6af3e4c2" name="OperadoresMySuiteXAvaliacao" connection="Consulta - OperadoresMySuiteXAvaliacao"/>
          <x15:modelTable id="QtdeTicketsMetaPri_c38afdb2-29f6-40e3-9009-fb1add2066d0" name="QtdeTicketsMetaPri" connection="Consulta - QtdeTicketsMetaPri"/>
          <x15:modelTable id="QtdeTicketsConcluidos_1a82b434-ffe7-4fcd-b8c8-6c43c1230d91" name="QtdeTicketsConcluidos" connection="Consulta - QtdeTicketsConcluidos"/>
          <x15:modelTable id="validausuario_9552a80f-3749-4aeb-ab7b-0f95e9f0f136" name="validausuario" connection="Consulta - validausuario"/>
        </x15:modelTables>
      </x15:dataModel>
    </ext>
  </extLst>
</workbook>
</file>

<file path=xl/calcChain.xml><?xml version="1.0" encoding="utf-8"?>
<calcChain xmlns="http://schemas.openxmlformats.org/spreadsheetml/2006/main">
  <c r="CE5" i="2" l="1"/>
  <c r="DH5" i="2"/>
  <c r="DH6" i="2"/>
  <c r="CB48" i="2"/>
  <c r="DG41" i="2"/>
  <c r="D35" i="2"/>
  <c r="E35" i="2"/>
  <c r="D7" i="2"/>
  <c r="BO51" i="2"/>
  <c r="CB43" i="2"/>
  <c r="D8" i="2"/>
  <c r="DG35" i="2"/>
  <c r="C11" i="2"/>
  <c r="E19" i="2"/>
  <c r="E25" i="2"/>
  <c r="BO49" i="2"/>
  <c r="BO52" i="2"/>
  <c r="BD37" i="2"/>
  <c r="DG43" i="2"/>
  <c r="CB50" i="2"/>
  <c r="CP50" i="2"/>
  <c r="CP48" i="2"/>
  <c r="CB51" i="2"/>
  <c r="CP51" i="2"/>
  <c r="CB47" i="2"/>
  <c r="CP47" i="2"/>
  <c r="CB49" i="2"/>
  <c r="CB52" i="2"/>
  <c r="CP52" i="2"/>
  <c r="CU53" i="2"/>
  <c r="BP53" i="2"/>
  <c r="CO56" i="2"/>
  <c r="DG36" i="2"/>
  <c r="D33" i="2"/>
  <c r="D31" i="2"/>
  <c r="D29" i="2"/>
  <c r="DG29" i="2"/>
  <c r="D27" i="2"/>
  <c r="D25" i="2"/>
  <c r="DG25" i="2"/>
  <c r="D23" i="2"/>
  <c r="D21" i="2"/>
  <c r="D19" i="2"/>
  <c r="D17" i="2"/>
  <c r="D15" i="2"/>
  <c r="D13" i="2"/>
  <c r="D11" i="2"/>
  <c r="DG11" i="2"/>
  <c r="E33" i="2"/>
  <c r="E31" i="2"/>
  <c r="E29" i="2"/>
  <c r="E27" i="2"/>
  <c r="E23" i="2"/>
  <c r="E21" i="2"/>
  <c r="E17" i="2"/>
  <c r="E15" i="2"/>
  <c r="E13" i="2"/>
  <c r="E11" i="2"/>
  <c r="DG31" i="2"/>
  <c r="DG32" i="2"/>
  <c r="DG17" i="2"/>
  <c r="DG18" i="2"/>
  <c r="DG26" i="2"/>
  <c r="DG19" i="2"/>
  <c r="DG20" i="2"/>
  <c r="DG27" i="2"/>
  <c r="DG28" i="2"/>
  <c r="DG13" i="2"/>
  <c r="DG14" i="2"/>
  <c r="DG21" i="2"/>
  <c r="DG22" i="2"/>
  <c r="DG30" i="2"/>
  <c r="DG23" i="2"/>
  <c r="DG24" i="2"/>
  <c r="DG33" i="2"/>
  <c r="DG34" i="2"/>
  <c r="DG15" i="2"/>
  <c r="DG16" i="2"/>
  <c r="DG12" i="2"/>
  <c r="CF37" i="2"/>
  <c r="DG37" i="2"/>
  <c r="CO57" i="2"/>
  <c r="D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Oliveira - Space Informática</author>
  </authors>
  <commentList>
    <comment ref="C3" authorId="0" shapeId="0" xr:uid="{00000000-0006-0000-0E00-000001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4" authorId="0" shapeId="0" xr:uid="{00000000-0006-0000-0E00-000002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5" authorId="0" shapeId="0" xr:uid="{00000000-0006-0000-0E00-000003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6" authorId="0" shapeId="0" xr:uid="{00000000-0006-0000-0E00-000004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7" authorId="0" shapeId="0" xr:uid="{00000000-0006-0000-0E00-000005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8" authorId="0" shapeId="0" xr:uid="{00000000-0006-0000-0E00-000006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9" authorId="0" shapeId="0" xr:uid="{00000000-0006-0000-0E00-000007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0" authorId="0" shapeId="0" xr:uid="{00000000-0006-0000-0E00-000008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B47" authorId="0" shapeId="0" xr:uid="{00000000-0006-0000-0E00-000009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B48" authorId="0" shapeId="0" xr:uid="{00000000-0006-0000-0E00-00000A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B49" authorId="0" shapeId="0" xr:uid="{00000000-0006-0000-0E00-00000B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B50" authorId="0" shapeId="0" xr:uid="{00000000-0006-0000-0E00-00000C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B51" authorId="0" shapeId="0" xr:uid="{00000000-0006-0000-0E00-00000D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B52" authorId="0" shapeId="0" xr:uid="{00000000-0006-0000-0E00-00000E000000}">
      <text>
        <r>
          <rPr>
            <b/>
            <sz val="9"/>
            <color indexed="81"/>
            <rFont val="Segoe UI"/>
            <family val="2"/>
          </rPr>
          <t>Daniel Oliveira - Space Informática: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% Aproveitamento geral" description="Conexão com a consulta '% Aproveitamento geral' na pasta de trabalho." type="100" refreshedVersion="6" minRefreshableVersion="5">
    <extLst>
      <ext xmlns:x15="http://schemas.microsoft.com/office/spreadsheetml/2010/11/main" uri="{DE250136-89BD-433C-8126-D09CA5730AF9}">
        <x15:connection id="11092006-2281-4c89-9b6c-84f053bfcc6d"/>
      </ext>
    </extLst>
  </connection>
  <connection id="2" xr16:uid="{00000000-0015-0000-FFFF-FFFF01000000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3" xr16:uid="{00000000-0015-0000-FFFF-FFFF02000000}" name="Consulta - AtendimentosAvaliacao" description="Conexão com a consulta 'AtendimentosAvaliacao' na pasta de trabalho." type="100" refreshedVersion="8" minRefreshableVersion="5">
    <extLst>
      <ext xmlns:x15="http://schemas.microsoft.com/office/spreadsheetml/2010/11/main" uri="{DE250136-89BD-433C-8126-D09CA5730AF9}">
        <x15:connection id="4e7c2a05-2041-4ff6-8ea3-7a812ef6edc8">
          <x15:oledbPr connection="Provider=Microsoft.Mashup.OleDb.1;Data Source=$Workbook$;Location=AtendimentosAvaliacao;Extended Properties=&quot;&quot;">
            <x15:dbTables>
              <x15:dbTable name="AtendimentosAvaliacao"/>
            </x15:dbTables>
          </x15:oledbPr>
        </x15:connection>
      </ext>
    </extLst>
  </connection>
  <connection id="4" xr16:uid="{00000000-0015-0000-FFFF-FFFF03000000}" name="Consulta - AtendimentosQuantitativo" description="Conexão com a consulta 'AtendimentosQuantitativo' na pasta de trabalho." type="100" refreshedVersion="8" minRefreshableVersion="5">
    <extLst>
      <ext xmlns:x15="http://schemas.microsoft.com/office/spreadsheetml/2010/11/main" uri="{DE250136-89BD-433C-8126-D09CA5730AF9}">
        <x15:connection id="ad2fa538-14f8-400c-a3d9-a419f614453e">
          <x15:oledbPr connection="Provider=Microsoft.Mashup.OleDb.1;Data Source=$Workbook$;Location=AtendimentosQuantitativo;Extended Properties=&quot;&quot;">
            <x15:dbTables>
              <x15:dbTable name="AtendimentosQuantitativo"/>
            </x15:dbTables>
          </x15:oledbPr>
        </x15:connection>
      </ext>
    </extLst>
  </connection>
  <connection id="5" xr16:uid="{00000000-0015-0000-FFFF-FFFF04000000}" name="Consulta - AuxCriterios" description="Conexão com a consulta 'AuxCriterios' na pasta de trabalho." type="100" refreshedVersion="6" minRefreshableVersion="5">
    <extLst>
      <ext xmlns:x15="http://schemas.microsoft.com/office/spreadsheetml/2010/11/main" uri="{DE250136-89BD-433C-8126-D09CA5730AF9}">
        <x15:connection id="8092f2c6-fb88-4a22-8134-a0723a90b72c"/>
      </ext>
    </extLst>
  </connection>
  <connection id="6" xr16:uid="{00000000-0015-0000-FFFF-FFFF05000000}" name="Consulta - AuxQtdeCriterios" description="Conexão com a consulta 'AuxQtdeCriterios' na pasta de trabalho." type="100" refreshedVersion="6" minRefreshableVersion="5">
    <extLst>
      <ext xmlns:x15="http://schemas.microsoft.com/office/spreadsheetml/2010/11/main" uri="{DE250136-89BD-433C-8126-D09CA5730AF9}">
        <x15:connection id="c31f8649-5d5c-400b-afd7-0a9ec1ce80fb"/>
      </ext>
    </extLst>
  </connection>
  <connection id="7" xr16:uid="{00000000-0015-0000-FFFF-FFFF06000000}" name="Consulta - Base" description="Conexão com a consulta 'Base' na pasta de trabalho." type="100" refreshedVersion="6" minRefreshableVersion="5">
    <extLst>
      <ext xmlns:x15="http://schemas.microsoft.com/office/spreadsheetml/2010/11/main" uri="{DE250136-89BD-433C-8126-D09CA5730AF9}">
        <x15:connection id="a06be1ae-1b98-4590-94f1-d556f122c8ba"/>
      </ext>
    </extLst>
  </connection>
  <connection id="8" xr16:uid="{00000000-0015-0000-FFFF-FFFF07000000}" name="Consulta - Base Atendimentos" description="Conexão com a consulta 'Base Atendimentos' na pasta de trabalho." type="100" refreshedVersion="8" minRefreshableVersion="5">
    <extLst>
      <ext xmlns:x15="http://schemas.microsoft.com/office/spreadsheetml/2010/11/main" uri="{DE250136-89BD-433C-8126-D09CA5730AF9}">
        <x15:connection id="7ba7264b-b67c-4e05-b3d9-ae127e092f2a">
          <x15:oledbPr connection="Provider=Microsoft.Mashup.OleDb.1;Data Source=$Workbook$;Location=&quot;Base Atendimentos&quot;;Extended Properties=&quot;&quot;">
            <x15:dbTables>
              <x15:dbTable name="Base Atendimentos"/>
            </x15:dbTables>
          </x15:oledbPr>
        </x15:connection>
      </ext>
    </extLst>
  </connection>
  <connection id="9" xr16:uid="{00000000-0015-0000-FFFF-FFFF08000000}" name="Consulta - DimOperador" description="Conexão com a consulta 'DimOperador' na pasta de trabalho." type="100" refreshedVersion="8" minRefreshableVersion="5">
    <extLst>
      <ext xmlns:x15="http://schemas.microsoft.com/office/spreadsheetml/2010/11/main" uri="{DE250136-89BD-433C-8126-D09CA5730AF9}">
        <x15:connection id="38911bdd-dce4-481d-adc0-92f38a59b5d6"/>
      </ext>
    </extLst>
  </connection>
  <connection id="10" xr16:uid="{00000000-0015-0000-FFFF-FFFF09000000}" name="Consulta - Media Operador x Criterio" description="Conexão com a consulta 'Media Operador x Criterio' na pasta de trabalho." type="100" refreshedVersion="6" minRefreshableVersion="5">
    <extLst>
      <ext xmlns:x15="http://schemas.microsoft.com/office/spreadsheetml/2010/11/main" uri="{DE250136-89BD-433C-8126-D09CA5730AF9}">
        <x15:connection id="8ff93d13-4abb-4825-8c2a-6829f084d375"/>
      </ext>
    </extLst>
  </connection>
  <connection id="11" xr16:uid="{00000000-0015-0000-FFFF-FFFF0A000000}" name="Consulta - Media Ponderada" description="Conexão com a consulta 'Media Ponderada' na pasta de trabalho." type="100" refreshedVersion="6" minRefreshableVersion="5">
    <extLst>
      <ext xmlns:x15="http://schemas.microsoft.com/office/spreadsheetml/2010/11/main" uri="{DE250136-89BD-433C-8126-D09CA5730AF9}">
        <x15:connection id="aedab514-1374-4ae6-b740-d380d5f046e2"/>
      </ext>
    </extLst>
  </connection>
  <connection id="12" xr16:uid="{00000000-0015-0000-FFFF-FFFF0B000000}" name="Consulta - OperadoresMySuiteXAvaliacao" description="Conexão com a consulta 'OperadoresMySuiteXAvaliacao' na pasta de trabalho." type="100" refreshedVersion="6" minRefreshableVersion="5">
    <extLst>
      <ext xmlns:x15="http://schemas.microsoft.com/office/spreadsheetml/2010/11/main" uri="{DE250136-89BD-433C-8126-D09CA5730AF9}">
        <x15:connection id="f1cf7338-249b-4dda-9327-acf734139647"/>
      </ext>
    </extLst>
  </connection>
  <connection id="13" xr16:uid="{00000000-0015-0000-FFFF-FFFF0C000000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4" xr16:uid="{00000000-0015-0000-FFFF-FFFF0D000000}" name="Consulta - ParametroMesFechado" description="Conexão com a consulta 'ParametroMesFechado' na pasta de trabalho." type="100" refreshedVersion="6" minRefreshableVersion="5">
    <extLst>
      <ext xmlns:x15="http://schemas.microsoft.com/office/spreadsheetml/2010/11/main" uri="{DE250136-89BD-433C-8126-D09CA5730AF9}">
        <x15:connection id="8755f57e-6be9-4f3a-9f27-89479640df8a"/>
      </ext>
    </extLst>
  </connection>
  <connection id="15" xr16:uid="{00000000-0015-0000-FFFF-FFFF0E000000}" name="Consulta - ParametroRelatorioGoogle" description="Conexão com a consulta 'ParametroRelatorioGoogle' na pasta de trabalho." type="100" refreshedVersion="6" minRefreshableVersion="5">
    <extLst>
      <ext xmlns:x15="http://schemas.microsoft.com/office/spreadsheetml/2010/11/main" uri="{DE250136-89BD-433C-8126-D09CA5730AF9}">
        <x15:connection id="ff530f46-4421-4a2a-8a40-595cc7d6af68"/>
      </ext>
    </extLst>
  </connection>
  <connection id="16" xr16:uid="{00000000-0015-0000-FFFF-FFFF0F000000}" name="Consulta - QtdeTicketsConcluidos" description="Conexão com a consulta 'QtdeTicketsConcluidos' na pasta de trabalho." type="100" refreshedVersion="8" minRefreshableVersion="5">
    <extLst>
      <ext xmlns:x15="http://schemas.microsoft.com/office/spreadsheetml/2010/11/main" uri="{DE250136-89BD-433C-8126-D09CA5730AF9}">
        <x15:connection id="dceaf497-0e72-4f6d-93ef-95fbce85854b">
          <x15:oledbPr connection="Provider=Microsoft.Mashup.OleDb.1;Data Source=$Workbook$;Location=QtdeTicketsConcluidos;Extended Properties=&quot;&quot;">
            <x15:dbTables>
              <x15:dbTable name="QtdeTicketsConcluidos"/>
            </x15:dbTables>
          </x15:oledbPr>
        </x15:connection>
      </ext>
    </extLst>
  </connection>
  <connection id="17" xr16:uid="{00000000-0015-0000-FFFF-FFFF10000000}" name="Consulta - QtdeTicketsMetaPri" description="Conexão com a consulta 'QtdeTicketsMetaPri' na pasta de trabalho." type="100" refreshedVersion="8" minRefreshableVersion="5">
    <extLst>
      <ext xmlns:x15="http://schemas.microsoft.com/office/spreadsheetml/2010/11/main" uri="{DE250136-89BD-433C-8126-D09CA5730AF9}">
        <x15:connection id="285033c7-16d4-4489-9720-e1f2fd4c0453">
          <x15:oledbPr connection="Provider=Microsoft.Mashup.OleDb.1;Data Source=$Workbook$;Location=QtdeTicketsMetaPri;Extended Properties=&quot;&quot;">
            <x15:dbTables>
              <x15:dbTable name="QtdeTicketsMetaPri"/>
            </x15:dbTables>
          </x15:oledbPr>
        </x15:connection>
      </ext>
    </extLst>
  </connection>
  <connection id="18" xr16:uid="{00000000-0015-0000-FFFF-FFFF11000000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9" xr16:uid="{00000000-0015-0000-FFFF-FFFF12000000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20" xr16:uid="{00000000-0015-0000-FFFF-FFFF13000000}" name="Consulta - validausuario" description="Conexão com a consulta 'validausuario' na pasta de trabalho." type="100" refreshedVersion="8" minRefreshableVersion="5">
    <extLst>
      <ext xmlns:x15="http://schemas.microsoft.com/office/spreadsheetml/2010/11/main" uri="{DE250136-89BD-433C-8126-D09CA5730AF9}">
        <x15:connection id="3547bcd8-69aa-4be5-b951-b8543185a2b4">
          <x15:oledbPr connection="Provider=Microsoft.Mashup.OleDb.1;Data Source=$Workbook$;Location=validausuario;Extended Properties=&quot;&quot;">
            <x15:dbTables>
              <x15:dbTable name="validausuario"/>
            </x15:dbTables>
          </x15:oledbPr>
        </x15:connection>
      </ext>
    </extLst>
  </connection>
  <connection id="21" xr16:uid="{00000000-0015-0000-FFFF-FFFF14000000}" keepAlive="1" name="ModelConnection_DadosExternos_1" description="Modelo de Dados" type="5" refreshedVersion="6" minRefreshableVersion="5" saveData="1">
    <dbPr connection="Data Model Connection" command="Media Operador x Criterio" commandType="3"/>
    <extLst>
      <ext xmlns:x15="http://schemas.microsoft.com/office/spreadsheetml/2010/11/main" uri="{DE250136-89BD-433C-8126-D09CA5730AF9}">
        <x15:connection id="" model="1"/>
      </ext>
    </extLst>
  </connection>
  <connection id="22" xr16:uid="{00000000-0015-0000-FFFF-FFFF15000000}" keepAlive="1" name="ModelConnection_DadosExternos_11" description="Modelo de Dados" type="5" refreshedVersion="8" minRefreshableVersion="5" saveData="1">
    <dbPr connection="Data Model Connection" command="validausuario" commandType="3"/>
    <extLst>
      <ext xmlns:x15="http://schemas.microsoft.com/office/spreadsheetml/2010/11/main" uri="{DE250136-89BD-433C-8126-D09CA5730AF9}">
        <x15:connection id="" model="1"/>
      </ext>
    </extLst>
  </connection>
  <connection id="23" xr16:uid="{00000000-0015-0000-FFFF-FFFF16000000}" keepAlive="1" name="ModelConnection_DadosExternos_12" description="Modelo de Dados" type="5" refreshedVersion="8" minRefreshableVersion="5" saveData="1">
    <dbPr connection="Data Model Connection" command="AtendimentosQuantitativo" commandType="3"/>
    <extLst>
      <ext xmlns:x15="http://schemas.microsoft.com/office/spreadsheetml/2010/11/main" uri="{DE250136-89BD-433C-8126-D09CA5730AF9}">
        <x15:connection id="" model="1"/>
      </ext>
    </extLst>
  </connection>
  <connection id="24" xr16:uid="{00000000-0015-0000-FFFF-FFFF17000000}" keepAlive="1" name="ModelConnection_DadosExternos_13" description="Modelo de Dados" type="5" refreshedVersion="8" minRefreshableVersion="5" saveData="1">
    <dbPr connection="Data Model Connection" command="AtendimentosAvaliacao" commandType="3"/>
    <extLst>
      <ext xmlns:x15="http://schemas.microsoft.com/office/spreadsheetml/2010/11/main" uri="{DE250136-89BD-433C-8126-D09CA5730AF9}">
        <x15:connection id="" model="1"/>
      </ext>
    </extLst>
  </connection>
  <connection id="25" xr16:uid="{00000000-0015-0000-FFFF-FFFF18000000}" keepAlive="1" name="ModelConnection_DadosExternos_14" description="Modelo de Dados" type="5" refreshedVersion="8" minRefreshableVersion="5" saveData="1">
    <dbPr connection="Data Model Connection" command="QtdeTicketsMetaPri" commandType="3"/>
    <extLst>
      <ext xmlns:x15="http://schemas.microsoft.com/office/spreadsheetml/2010/11/main" uri="{DE250136-89BD-433C-8126-D09CA5730AF9}">
        <x15:connection id="" model="1"/>
      </ext>
    </extLst>
  </connection>
  <connection id="26" xr16:uid="{00000000-0015-0000-FFFF-FFFF19000000}" keepAlive="1" name="ModelConnection_DadosExternos_2" description="Modelo de Dados" type="5" refreshedVersion="6" minRefreshableVersion="5" saveData="1">
    <dbPr connection="Data Model Connection" command="Media Ponderada" commandType="3"/>
    <extLst>
      <ext xmlns:x15="http://schemas.microsoft.com/office/spreadsheetml/2010/11/main" uri="{DE250136-89BD-433C-8126-D09CA5730AF9}">
        <x15:connection id="" model="1"/>
      </ext>
    </extLst>
  </connection>
  <connection id="27" xr16:uid="{00000000-0015-0000-FFFF-FFFF1A000000}" keepAlive="1" name="ModelConnection_DadosExternos_3" description="Modelo de Dados" type="5" refreshedVersion="6" minRefreshableVersion="5" saveData="1">
    <dbPr connection="Data Model Connection" command="AuxCriterios" commandType="3"/>
    <extLst>
      <ext xmlns:x15="http://schemas.microsoft.com/office/spreadsheetml/2010/11/main" uri="{DE250136-89BD-433C-8126-D09CA5730AF9}">
        <x15:connection id="" model="1"/>
      </ext>
    </extLst>
  </connection>
  <connection id="28" xr16:uid="{00000000-0015-0000-FFFF-FFFF1B000000}" keepAlive="1" name="ModelConnection_DadosExternos_4" description="Modelo de Dados" type="5" refreshedVersion="6" minRefreshableVersion="5" saveData="1">
    <dbPr connection="Data Model Connection" command="Aproveitamento geral" commandType="3"/>
    <extLst>
      <ext xmlns:x15="http://schemas.microsoft.com/office/spreadsheetml/2010/11/main" uri="{DE250136-89BD-433C-8126-D09CA5730AF9}">
        <x15:connection id="" model="1"/>
      </ext>
    </extLst>
  </connection>
  <connection id="29" xr16:uid="{00000000-0015-0000-FFFF-FFFF1C000000}" keepAlive="1" name="ModelConnection_DadosExternos_5" description="Modelo de Dados" type="5" refreshedVersion="8" minRefreshableVersion="5" saveData="1">
    <dbPr connection="Data Model Connection" command="DimOperador" commandType="3"/>
    <extLst>
      <ext xmlns:x15="http://schemas.microsoft.com/office/spreadsheetml/2010/11/main" uri="{DE250136-89BD-433C-8126-D09CA5730AF9}">
        <x15:connection id="" model="1"/>
      </ext>
    </extLst>
  </connection>
  <connection id="30" xr16:uid="{00000000-0015-0000-FFFF-FFFF1D000000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<sst xmlns="http://schemas.openxmlformats.org/spreadsheetml/2006/main" count="886" uniqueCount="137">
  <si>
    <t>Avaliação Janeiro 2023 - Daniel Oliveira</t>
  </si>
  <si>
    <t xml:space="preserve">  Avaliação 360º    </t>
  </si>
  <si>
    <t>CRITÉRIO</t>
  </si>
  <si>
    <t>%</t>
  </si>
  <si>
    <t xml:space="preserve">    Pontualidade ao iniciar o expediente e retorno dos intervalos de almoço, respeitando também os 15 minutos de café estipulados pela empresa. </t>
  </si>
  <si>
    <t xml:space="preserve">Mantém, durante o tempo necessário, a atenção focada nos processos e nos assuntos que estão sendo tratados, sem distrações excessivas com uso do pessoal de celular e redes sociais durante o expediente. </t>
  </si>
  <si>
    <t xml:space="preserve">    Mantém, durante o tempo necessário, a atenção focada nos processos e nos assuntos que estão sendo tratados, sem distrações excessivas com uso do pessoal de celular e redes sociais durante o expediente. </t>
  </si>
  <si>
    <t>% Alcançado: 95,3%</t>
  </si>
  <si>
    <t>R$ da Avaliação: R$ 260,00</t>
  </si>
  <si>
    <t>R$ Apurado: R$ 260,00</t>
  </si>
  <si>
    <t xml:space="preserve">  Avaliação da Gerência    </t>
  </si>
  <si>
    <t>Cumpre as normas da entidade e os compromissos de trabalho, não solicitou folga/banco de horas parciais ou totais por mais de 2 vezes no mesmo mês</t>
  </si>
  <si>
    <t xml:space="preserve">  Metas Atendimento ao cliente</t>
  </si>
  <si>
    <t>META</t>
  </si>
  <si>
    <t>REALIZADO</t>
  </si>
  <si>
    <t>R$ META</t>
  </si>
  <si>
    <t>R$ APURADO</t>
  </si>
  <si>
    <t>Tempo 1º Contato</t>
  </si>
  <si>
    <t>Quantitativo</t>
  </si>
  <si>
    <t xml:space="preserve">Preenchimento de tickets inadequados </t>
  </si>
  <si>
    <t>Satisfação dos Clientes</t>
  </si>
  <si>
    <t>Solicitação de apoio Indevida</t>
  </si>
  <si>
    <t>Reabertura de Tickets</t>
  </si>
  <si>
    <t>VALOR TOTAL META:</t>
  </si>
  <si>
    <t>VALOR ALCANÇADO:</t>
  </si>
  <si>
    <t>APURAÇÃO OPERADOR X CRITÉRIOS</t>
  </si>
  <si>
    <t>operador avaliado</t>
  </si>
  <si>
    <t>criterio</t>
  </si>
  <si>
    <t>criterio limpo</t>
  </si>
  <si>
    <t>Media</t>
  </si>
  <si>
    <t>Primeiros caracteres</t>
  </si>
  <si>
    <t>Ana Carolina Ribeiro</t>
  </si>
  <si>
    <t>1. Pontualidade ao iniciar o expediente e retorno dos intervalos de almoço, respeitando também os 15 minutos de café estipulados pela empresa.</t>
  </si>
  <si>
    <t>Pontualidade ao iniciar o expediente e retorno dos intervalos de almoço, respeitando também os 15 minutos de café estipulados pela empresa.</t>
  </si>
  <si>
    <t>Pontualidade ao iniciar o expediente e retorno dos intervalos de almoço, respeitando também os 15 mi</t>
  </si>
  <si>
    <t>Erick Douglas</t>
  </si>
  <si>
    <t>Evandro Pereira</t>
  </si>
  <si>
    <t>Gabriel  Medeiros</t>
  </si>
  <si>
    <t>João Pedro Costa</t>
  </si>
  <si>
    <t>Jonathan Nascimento</t>
  </si>
  <si>
    <t>Luciano Augusto</t>
  </si>
  <si>
    <t>Luís Romero</t>
  </si>
  <si>
    <t>Mayara Duarte</t>
  </si>
  <si>
    <t>Paulo Silva</t>
  </si>
  <si>
    <t>Samuel Ivens</t>
  </si>
  <si>
    <t>Wesley Fagundes</t>
  </si>
  <si>
    <t>10. É responsável, priorizando os atendimentos a serem realizados, não utilizando de forma indevida seu horário de trabalho.</t>
  </si>
  <si>
    <t>É responsável, priorizando os atendimentos a serem realizados, não utilizando de forma indevida seu horário de trabalho.</t>
  </si>
  <si>
    <t>É responsável, priorizando os atendimentos a serem realizados, não utilizando de forma indevida seu</t>
  </si>
  <si>
    <t>11. Tem iniciativa para buscar novos aprendizados, evoluir profissionalmente e encontrar soluções inovadoras para os problemas do dia a dia.</t>
  </si>
  <si>
    <t>Tem iniciativa para buscar novos aprendizados, evoluir profissionalmente e encontrar soluções inovadoras para os problemas do dia a dia.</t>
  </si>
  <si>
    <t>Tem iniciativa para buscar novos aprendizados, evoluir profissionalmente e encontrar soluções inovad</t>
  </si>
  <si>
    <t>Samuel Xavier</t>
  </si>
  <si>
    <t>12. Procura compreender os processos dos clientes em sua totalidade, se esforçando na resolução dos problemas para que não haja a solicitação de auxilio dos colegas de forma indevida.</t>
  </si>
  <si>
    <t>Procura compreender os processos dos clientes em sua totalidade, se esforçando na resolução dos problemas para que não haja a solicitação de auxilio dos colegas de forma indevida.</t>
  </si>
  <si>
    <t>Procura compreender os processos dos clientes em sua totalidade, se esforçando na resolução dos prob</t>
  </si>
  <si>
    <t>13. Evita distrações excessivas com uso o pessoal de celular e redes sociais e outros tipos entretenimento durante o expediente.</t>
  </si>
  <si>
    <t>Evita distrações excessivas com uso o pessoal de celular e redes sociais e outros tipos entretenimento durante o expediente.</t>
  </si>
  <si>
    <t>Evita distrações excessivas com uso o pessoal de celular e redes sociais e outros tipos entretenimen</t>
  </si>
  <si>
    <t>2. Fornece soluções precisas e eficazes para os problemas apresentados pelos clientes.</t>
  </si>
  <si>
    <t>Fornece soluções precisas e eficazes para os problemas apresentados pelos clientes.</t>
  </si>
  <si>
    <t>3. Comunica de forma clara, objetiva e eficaz, garantindo que colaboradores internos e os clientes entendam a solução proposta.</t>
  </si>
  <si>
    <t>Comunica de forma clara, objetiva e eficaz, garantindo que colaboradores internos e os clientes entendam a solução proposta.</t>
  </si>
  <si>
    <t>Comunica de forma clara, objetiva e eficaz, garantindo que colaboradores internos e os clientes ente</t>
  </si>
  <si>
    <t>4. Lida bem com os clientes difíceis ou situações estressantes.</t>
  </si>
  <si>
    <t>Lida bem com os clientes difíceis ou situações estressantes.</t>
  </si>
  <si>
    <t>5. Responde aos problemas dos clientes de forma rápida e eficiente, sem demora desnecessária.</t>
  </si>
  <si>
    <t>Responde aos problemas dos clientes de forma rápida e eficiente, sem demora desnecessária.</t>
  </si>
  <si>
    <t>6. Trabalha em conjunto para encontrar soluções e compartilhar conhecimentos. .</t>
  </si>
  <si>
    <t>Trabalha em conjunto para encontrar soluções e compartilhar conhecimentos. .</t>
  </si>
  <si>
    <t>7. Tem atitudes proativas.</t>
  </si>
  <si>
    <t>Tem atitudes proativas.</t>
  </si>
  <si>
    <t>8. Trata a todos com respeito, simpatia, presteza e educação, independentemente da hierarquia e do público, buscando um clima de harmonia, confiança e cooperação. Demonstra paciência e capacidade de conviver com diferenças (ritmo, estilo, pensamentos, etc). Tem habilidade para dizer “o que precisa ser dito”.</t>
  </si>
  <si>
    <t>Trata a todos com respeito, simpatia, presteza e educação, independentemente da hierarquia e do público, buscando um clima de harmonia, confiança e cooperação. Demonstra paciência e capacidade de conviver com diferenças (ritmo, estilo, pensamentos, etc). Tem habilidade para dizer “o que precisa ser dito”.</t>
  </si>
  <si>
    <t>Trata a todos com respeito, simpatia, presteza e educação, independentemente da hierarquia e do públ</t>
  </si>
  <si>
    <t>9. Mantém unido(a) e alinhado(a) em relação aos objetivos e metas comuns da equipe .</t>
  </si>
  <si>
    <t>Mantém unido(a) e alinhado(a) em relação aos objetivos e metas comuns da equipe .</t>
  </si>
  <si>
    <t>soma da media criterio</t>
  </si>
  <si>
    <t>APURAÇÃO GERAL OPERADOR</t>
  </si>
  <si>
    <t>% aproveitamento</t>
  </si>
  <si>
    <t>Nome na avaliação 360</t>
  </si>
  <si>
    <t>Situação</t>
  </si>
  <si>
    <t>Verifique se o nome do operador na avaliação está igual ao cadastro do mysuite. Corrija na avaliação 360 e faça a importação novamente.</t>
  </si>
  <si>
    <t>RELATÓRIO DE FECHAMENTO MENSAL</t>
  </si>
  <si>
    <t>Erick de Paula</t>
  </si>
  <si>
    <t>Isabela Karoline Cardoso</t>
  </si>
  <si>
    <t>Parametro</t>
  </si>
  <si>
    <t>Valor</t>
  </si>
  <si>
    <t>Excel com resultado da avaliação (baixado no google forms)</t>
  </si>
  <si>
    <t xml:space="preserve">Diretório Relatório tickets </t>
  </si>
  <si>
    <t>Ótimo / Excelente</t>
  </si>
  <si>
    <t>Bom / Regular</t>
  </si>
  <si>
    <t>Ruim / Insatisfatório</t>
  </si>
  <si>
    <t>Inteira</t>
  </si>
  <si>
    <t>Meia</t>
  </si>
  <si>
    <t>Operador</t>
  </si>
  <si>
    <t>Tickets</t>
  </si>
  <si>
    <t>MesAno Abertura Considerar</t>
  </si>
  <si>
    <t>TicketsMetaPri</t>
  </si>
  <si>
    <t>tickets</t>
  </si>
  <si>
    <t>%MetaPri</t>
  </si>
  <si>
    <t>media</t>
  </si>
  <si>
    <t>id</t>
  </si>
  <si>
    <t>Usuário Suporte</t>
  </si>
  <si>
    <t>Premiação</t>
  </si>
  <si>
    <t>Faltas</t>
  </si>
  <si>
    <t>Preenchimento Incorreto Tickets (qtde)</t>
  </si>
  <si>
    <t>Solicitação Indevida             ( Qtde)</t>
  </si>
  <si>
    <t>Reabertura Tickets</t>
  </si>
  <si>
    <t>Daniel Oliveira</t>
  </si>
  <si>
    <t>Thiago Borges</t>
  </si>
  <si>
    <t>Valores Meta</t>
  </si>
  <si>
    <t>360º</t>
  </si>
  <si>
    <t>Pontualidade</t>
  </si>
  <si>
    <t>1º Contato</t>
  </si>
  <si>
    <t>Preenchimento Tkt</t>
  </si>
  <si>
    <t>Satisfação Clientes</t>
  </si>
  <si>
    <t>Apoio Indevido</t>
  </si>
  <si>
    <t>Reabertura Tkt</t>
  </si>
  <si>
    <t>Valor da Meta:.</t>
  </si>
  <si>
    <t>% Alcançado:.</t>
  </si>
  <si>
    <t>Valor Alcançado:.</t>
  </si>
  <si>
    <t>AVALIAÇÃO DA GERÊNCIA</t>
  </si>
  <si>
    <t>Cumpre as normas da entidade e os compromissos de trabalho, não solicitou folga/banco de horas parciais ou totais por mais de 2 vezes no mesmo mês.</t>
  </si>
  <si>
    <t>AVALIAÇÃO ATENDIMENTO AO CLIENTE</t>
  </si>
  <si>
    <t>ALCANÇADO</t>
  </si>
  <si>
    <t>R$ ALCANÇADO</t>
  </si>
  <si>
    <t>Atraso no 1º contato</t>
  </si>
  <si>
    <t>Preenchimento Incorreto de Tickets</t>
  </si>
  <si>
    <t>Satisfação dos clientes</t>
  </si>
  <si>
    <t>Solicitação de apoio indevida</t>
  </si>
  <si>
    <t>Reabertura de tickets</t>
  </si>
  <si>
    <t>APURAÇÃO GERAL</t>
  </si>
  <si>
    <t>R$ da Meta:.</t>
  </si>
  <si>
    <t>R$ Alcançado:.</t>
  </si>
  <si>
    <t>C:\Users\IsabelaSantos-SpaceI\OneDrive - spaceinformatica.com.br\Desktop\AVALIAÇÃO\Avaliação Gerencial - 3 (respostas).xlsx</t>
  </si>
  <si>
    <t>AVALIAÇÃO 360º JUNHO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</si>
</sst>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0.0%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SansSerif"/>
      <charset val="2"/>
    </font>
    <font>
      <sz val="11"/>
      <color theme="2" tint="-0.74999237037263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7"/>
      <color theme="1" tint="0.249977111117893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FF6EA"/>
        <bgColor indexed="64"/>
      </patternFill>
    </fill>
    <fill>
      <patternFill patternType="solid">
        <fgColor rgb="FFFEEBE8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164">
    <xf numFmtId="0" fontId="0" fillId="0" borderId="0" xfId="0"/>
    <xf numFmtId="0" fontId="0" fillId="2" borderId="0" xfId="0" applyFill="1"/>
    <xf numFmtId="0" fontId="0" fillId="0" borderId="0" xfId="0" applyAlignment="1">
      <alignment horizontal="right"/>
    </xf>
    <xf numFmtId="9" fontId="0" fillId="0" borderId="0" xfId="2" applyFont="1"/>
    <xf numFmtId="164" fontId="0" fillId="0" borderId="0" xfId="1" applyNumberFormat="1" applyFont="1"/>
    <xf numFmtId="164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left" wrapText="1"/>
    </xf>
    <xf numFmtId="0" fontId="8" fillId="0" borderId="0" xfId="0" applyFont="1" applyAlignment="1">
      <alignment horizontal="center" vertical="center"/>
    </xf>
    <xf numFmtId="9" fontId="5" fillId="0" borderId="0" xfId="2" applyFont="1" applyAlignment="1"/>
    <xf numFmtId="164" fontId="5" fillId="0" borderId="0" xfId="0" applyNumberFormat="1" applyFont="1"/>
    <xf numFmtId="8" fontId="9" fillId="0" borderId="0" xfId="0" applyNumberFormat="1" applyFont="1"/>
    <xf numFmtId="0" fontId="0" fillId="0" borderId="2" xfId="0" applyBorder="1" applyAlignment="1">
      <alignment horizontal="left" wrapText="1"/>
    </xf>
    <xf numFmtId="0" fontId="10" fillId="2" borderId="0" xfId="0" applyFont="1" applyFill="1"/>
    <xf numFmtId="0" fontId="11" fillId="2" borderId="0" xfId="0" applyFont="1" applyFill="1"/>
    <xf numFmtId="0" fontId="8" fillId="0" borderId="1" xfId="0" applyFont="1" applyBorder="1"/>
    <xf numFmtId="0" fontId="0" fillId="3" borderId="0" xfId="0" applyFill="1" applyAlignment="1">
      <alignment horizontal="centerContinuous"/>
    </xf>
    <xf numFmtId="8" fontId="9" fillId="3" borderId="0" xfId="0" applyNumberFormat="1" applyFont="1" applyFill="1" applyAlignment="1">
      <alignment horizontal="left"/>
    </xf>
    <xf numFmtId="0" fontId="6" fillId="3" borderId="0" xfId="0" applyFont="1" applyFill="1"/>
    <xf numFmtId="0" fontId="0" fillId="3" borderId="0" xfId="0" applyFill="1"/>
    <xf numFmtId="0" fontId="5" fillId="2" borderId="0" xfId="0" applyFont="1" applyFill="1" applyAlignment="1">
      <alignment horizontal="center" vertical="center"/>
    </xf>
    <xf numFmtId="10" fontId="0" fillId="0" borderId="0" xfId="0" applyNumberFormat="1"/>
    <xf numFmtId="10" fontId="0" fillId="0" borderId="0" xfId="2" applyNumberFormat="1" applyFont="1"/>
    <xf numFmtId="0" fontId="0" fillId="0" borderId="0" xfId="0" applyAlignment="1">
      <alignment vertical="center" wrapText="1"/>
    </xf>
    <xf numFmtId="44" fontId="0" fillId="0" borderId="0" xfId="3" applyFont="1" applyAlignment="1">
      <alignment vertical="center"/>
    </xf>
    <xf numFmtId="44" fontId="0" fillId="0" borderId="0" xfId="3" applyFont="1"/>
    <xf numFmtId="0" fontId="0" fillId="0" borderId="0" xfId="0" applyProtection="1">
      <protection hidden="1"/>
    </xf>
    <xf numFmtId="0" fontId="0" fillId="3" borderId="0" xfId="0" applyFill="1" applyProtection="1">
      <protection hidden="1"/>
    </xf>
    <xf numFmtId="0" fontId="5" fillId="2" borderId="0" xfId="0" applyFont="1" applyFill="1" applyAlignment="1" applyProtection="1">
      <alignment vertical="center"/>
      <protection hidden="1"/>
    </xf>
    <xf numFmtId="0" fontId="9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44" fontId="0" fillId="0" borderId="0" xfId="0" applyNumberForma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8" fontId="3" fillId="0" borderId="0" xfId="0" applyNumberFormat="1" applyFont="1" applyProtection="1">
      <protection hidden="1"/>
    </xf>
    <xf numFmtId="8" fontId="3" fillId="0" borderId="0" xfId="0" applyNumberFormat="1" applyFont="1" applyAlignment="1" applyProtection="1">
      <alignment horizontal="center"/>
      <protection hidden="1"/>
    </xf>
    <xf numFmtId="164" fontId="0" fillId="0" borderId="0" xfId="0" applyNumberFormat="1" applyProtection="1">
      <protection hidden="1"/>
    </xf>
    <xf numFmtId="0" fontId="16" fillId="0" borderId="0" xfId="0" applyFont="1" applyProtection="1">
      <protection hidden="1"/>
    </xf>
    <xf numFmtId="164" fontId="3" fillId="0" borderId="0" xfId="0" applyNumberFormat="1" applyFont="1" applyProtection="1">
      <protection hidden="1"/>
    </xf>
    <xf numFmtId="0" fontId="22" fillId="0" borderId="0" xfId="0" applyFont="1" applyProtection="1">
      <protection hidden="1"/>
    </xf>
    <xf numFmtId="0" fontId="0" fillId="2" borderId="0" xfId="0" applyFill="1" applyProtection="1">
      <protection hidden="1"/>
    </xf>
    <xf numFmtId="0" fontId="9" fillId="2" borderId="0" xfId="0" applyFont="1" applyFill="1" applyProtection="1">
      <protection hidden="1"/>
    </xf>
    <xf numFmtId="0" fontId="15" fillId="0" borderId="0" xfId="0" applyFont="1" applyProtection="1">
      <protection hidden="1"/>
    </xf>
    <xf numFmtId="8" fontId="0" fillId="0" borderId="0" xfId="0" applyNumberFormat="1" applyProtection="1">
      <protection hidden="1"/>
    </xf>
    <xf numFmtId="0" fontId="0" fillId="3" borderId="0" xfId="0" applyFill="1" applyProtection="1">
      <protection locked="0" hidden="1"/>
    </xf>
    <xf numFmtId="0" fontId="25" fillId="0" borderId="0" xfId="4"/>
    <xf numFmtId="165" fontId="0" fillId="0" borderId="0" xfId="2" applyNumberFormat="1" applyFont="1"/>
    <xf numFmtId="0" fontId="26" fillId="0" borderId="0" xfId="0" applyFont="1"/>
    <xf numFmtId="0" fontId="5" fillId="0" borderId="0" xfId="0" applyFont="1"/>
    <xf numFmtId="0" fontId="28" fillId="0" borderId="1" xfId="0" applyFont="1" applyBorder="1"/>
    <xf numFmtId="1" fontId="28" fillId="0" borderId="1" xfId="1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7" fillId="7" borderId="0" xfId="0" applyFont="1" applyFill="1" applyAlignment="1">
      <alignment horizontal="center" wrapText="1"/>
    </xf>
    <xf numFmtId="0" fontId="22" fillId="0" borderId="0" xfId="0" applyFont="1" applyAlignment="1" applyProtection="1">
      <alignment vertical="center"/>
      <protection hidden="1"/>
    </xf>
    <xf numFmtId="44" fontId="0" fillId="0" borderId="0" xfId="3" applyFont="1" applyProtection="1">
      <protection locked="0"/>
    </xf>
    <xf numFmtId="44" fontId="0" fillId="0" borderId="0" xfId="3" applyFont="1" applyAlignment="1" applyProtection="1">
      <alignment vertical="center"/>
      <protection locked="0"/>
    </xf>
    <xf numFmtId="0" fontId="2" fillId="3" borderId="0" xfId="0" applyFont="1" applyFill="1" applyProtection="1">
      <protection locked="0" hidden="1"/>
    </xf>
    <xf numFmtId="0" fontId="9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1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65" fontId="4" fillId="0" borderId="0" xfId="0" applyNumberFormat="1" applyFont="1" applyProtection="1">
      <protection hidden="1"/>
    </xf>
    <xf numFmtId="0" fontId="31" fillId="0" borderId="0" xfId="0" applyFont="1" applyProtection="1">
      <protection hidden="1"/>
    </xf>
    <xf numFmtId="0" fontId="0" fillId="0" borderId="0" xfId="0" applyAlignment="1">
      <alignment horizontal="left" indent="1"/>
    </xf>
    <xf numFmtId="9" fontId="8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9" fontId="8" fillId="5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left" wrapText="1"/>
    </xf>
    <xf numFmtId="0" fontId="0" fillId="0" borderId="2" xfId="0" applyBorder="1" applyAlignment="1">
      <alignment horizontal="right"/>
    </xf>
    <xf numFmtId="0" fontId="8" fillId="0" borderId="3" xfId="0" applyFont="1" applyBorder="1" applyAlignment="1">
      <alignment horizontal="left" indent="1"/>
    </xf>
    <xf numFmtId="0" fontId="8" fillId="0" borderId="4" xfId="0" applyFont="1" applyBorder="1" applyAlignment="1">
      <alignment horizontal="left" indent="1"/>
    </xf>
    <xf numFmtId="0" fontId="8" fillId="0" borderId="5" xfId="0" applyFont="1" applyBorder="1" applyAlignment="1">
      <alignment horizontal="left" indent="1"/>
    </xf>
    <xf numFmtId="0" fontId="3" fillId="0" borderId="0" xfId="0" applyFont="1" applyAlignment="1">
      <alignment horizontal="right"/>
    </xf>
    <xf numFmtId="0" fontId="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center" vertical="center"/>
    </xf>
    <xf numFmtId="9" fontId="1" fillId="0" borderId="0" xfId="2" applyFont="1" applyAlignment="1">
      <alignment horizontal="right"/>
    </xf>
    <xf numFmtId="164" fontId="1" fillId="0" borderId="0" xfId="0" applyNumberFormat="1" applyFont="1" applyAlignment="1">
      <alignment horizontal="right"/>
    </xf>
    <xf numFmtId="8" fontId="3" fillId="0" borderId="0" xfId="0" applyNumberFormat="1" applyFont="1" applyAlignment="1">
      <alignment horizontal="right"/>
    </xf>
    <xf numFmtId="0" fontId="0" fillId="2" borderId="0" xfId="0" applyFill="1" applyAlignment="1">
      <alignment horizontal="center"/>
    </xf>
    <xf numFmtId="0" fontId="1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7" fillId="0" borderId="1" xfId="0" applyFont="1" applyBorder="1" applyAlignment="1" applyProtection="1">
      <alignment horizontal="left" vertical="center" wrapText="1"/>
      <protection hidden="1"/>
    </xf>
    <xf numFmtId="0" fontId="17" fillId="0" borderId="16" xfId="0" applyFont="1" applyBorder="1" applyAlignment="1" applyProtection="1">
      <alignment horizontal="left" vertical="center" wrapText="1"/>
      <protection hidden="1"/>
    </xf>
    <xf numFmtId="0" fontId="17" fillId="0" borderId="2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6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center"/>
      <protection hidden="1"/>
    </xf>
    <xf numFmtId="165" fontId="17" fillId="0" borderId="16" xfId="2" applyNumberFormat="1" applyFont="1" applyBorder="1" applyAlignment="1" applyProtection="1">
      <alignment horizontal="center"/>
      <protection hidden="1"/>
    </xf>
    <xf numFmtId="165" fontId="17" fillId="0" borderId="2" xfId="2" applyNumberFormat="1" applyFont="1" applyBorder="1" applyAlignment="1" applyProtection="1">
      <alignment horizontal="center"/>
      <protection hidden="1"/>
    </xf>
    <xf numFmtId="165" fontId="17" fillId="0" borderId="17" xfId="2" applyNumberFormat="1" applyFont="1" applyBorder="1" applyAlignment="1" applyProtection="1">
      <alignment horizontal="center"/>
      <protection hidden="1"/>
    </xf>
    <xf numFmtId="2" fontId="20" fillId="0" borderId="18" xfId="2" applyNumberFormat="1" applyFont="1" applyBorder="1" applyAlignment="1" applyProtection="1">
      <alignment horizontal="right" vertical="top"/>
      <protection hidden="1"/>
    </xf>
    <xf numFmtId="2" fontId="20" fillId="0" borderId="6" xfId="2" applyNumberFormat="1" applyFont="1" applyBorder="1" applyAlignment="1" applyProtection="1">
      <alignment horizontal="right" vertical="top"/>
      <protection hidden="1"/>
    </xf>
    <xf numFmtId="2" fontId="20" fillId="0" borderId="19" xfId="2" applyNumberFormat="1" applyFont="1" applyBorder="1" applyAlignment="1" applyProtection="1">
      <alignment horizontal="right" vertical="top"/>
      <protection hidden="1"/>
    </xf>
    <xf numFmtId="0" fontId="13" fillId="0" borderId="3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5" xfId="0" applyFont="1" applyBorder="1" applyAlignment="1" applyProtection="1">
      <alignment horizontal="left"/>
      <protection hidden="1"/>
    </xf>
    <xf numFmtId="165" fontId="13" fillId="0" borderId="1" xfId="2" applyNumberFormat="1" applyFont="1" applyBorder="1" applyAlignment="1" applyProtection="1">
      <alignment horizontal="center"/>
      <protection locked="0" hidden="1"/>
    </xf>
    <xf numFmtId="1" fontId="0" fillId="0" borderId="3" xfId="1" applyNumberFormat="1" applyFont="1" applyFill="1" applyBorder="1" applyAlignment="1" applyProtection="1">
      <alignment horizontal="center"/>
      <protection hidden="1"/>
    </xf>
    <xf numFmtId="1" fontId="0" fillId="0" borderId="4" xfId="1" applyNumberFormat="1" applyFont="1" applyFill="1" applyBorder="1" applyAlignment="1" applyProtection="1">
      <alignment horizontal="center"/>
      <protection hidden="1"/>
    </xf>
    <xf numFmtId="1" fontId="0" fillId="0" borderId="5" xfId="1" applyNumberFormat="1" applyFont="1" applyFill="1" applyBorder="1" applyAlignment="1" applyProtection="1">
      <alignment horizontal="center"/>
      <protection hidden="1"/>
    </xf>
    <xf numFmtId="165" fontId="0" fillId="0" borderId="16" xfId="2" applyNumberFormat="1" applyFont="1" applyBorder="1" applyAlignment="1" applyProtection="1">
      <alignment horizontal="center" vertical="center" wrapText="1"/>
      <protection hidden="1"/>
    </xf>
    <xf numFmtId="165" fontId="18" fillId="0" borderId="2" xfId="2" applyNumberFormat="1" applyFont="1" applyBorder="1" applyAlignment="1" applyProtection="1">
      <alignment horizontal="center" vertical="center" wrapText="1"/>
      <protection hidden="1"/>
    </xf>
    <xf numFmtId="165" fontId="18" fillId="0" borderId="17" xfId="2" applyNumberFormat="1" applyFont="1" applyBorder="1" applyAlignment="1" applyProtection="1">
      <alignment horizontal="center" vertical="center" wrapText="1"/>
      <protection hidden="1"/>
    </xf>
    <xf numFmtId="165" fontId="18" fillId="0" borderId="18" xfId="2" applyNumberFormat="1" applyFont="1" applyBorder="1" applyAlignment="1" applyProtection="1">
      <alignment horizontal="center" vertical="center" wrapText="1"/>
      <protection hidden="1"/>
    </xf>
    <xf numFmtId="165" fontId="18" fillId="0" borderId="6" xfId="2" applyNumberFormat="1" applyFont="1" applyBorder="1" applyAlignment="1" applyProtection="1">
      <alignment horizontal="center" vertical="center" wrapText="1"/>
      <protection hidden="1"/>
    </xf>
    <xf numFmtId="165" fontId="18" fillId="0" borderId="19" xfId="2" applyNumberFormat="1" applyFont="1" applyBorder="1" applyAlignment="1" applyProtection="1">
      <alignment horizontal="center" vertic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13" fillId="0" borderId="3" xfId="0" applyFont="1" applyBorder="1" applyProtection="1">
      <protection hidden="1"/>
    </xf>
    <xf numFmtId="0" fontId="13" fillId="0" borderId="4" xfId="0" applyFont="1" applyBorder="1" applyProtection="1">
      <protection hidden="1"/>
    </xf>
    <xf numFmtId="0" fontId="13" fillId="0" borderId="5" xfId="0" applyFont="1" applyBorder="1" applyProtection="1">
      <protection hidden="1"/>
    </xf>
    <xf numFmtId="0" fontId="13" fillId="0" borderId="1" xfId="0" quotePrefix="1" applyFont="1" applyBorder="1" applyAlignment="1" applyProtection="1">
      <alignment horizontal="center"/>
      <protection locked="0" hidden="1"/>
    </xf>
    <xf numFmtId="0" fontId="13" fillId="0" borderId="1" xfId="0" applyFont="1" applyBorder="1" applyAlignment="1" applyProtection="1">
      <alignment horizontal="center"/>
      <protection locked="0" hidden="1"/>
    </xf>
    <xf numFmtId="9" fontId="13" fillId="0" borderId="1" xfId="0" applyNumberFormat="1" applyFont="1" applyBorder="1" applyAlignment="1" applyProtection="1">
      <alignment horizontal="center"/>
      <protection locked="0" hidden="1"/>
    </xf>
    <xf numFmtId="0" fontId="0" fillId="2" borderId="11" xfId="0" applyFill="1" applyBorder="1" applyAlignment="1" applyProtection="1">
      <alignment horizontal="right"/>
      <protection hidden="1"/>
    </xf>
    <xf numFmtId="0" fontId="0" fillId="2" borderId="0" xfId="0" applyFill="1" applyAlignment="1" applyProtection="1">
      <alignment horizontal="right"/>
      <protection hidden="1"/>
    </xf>
    <xf numFmtId="8" fontId="5" fillId="2" borderId="0" xfId="0" applyNumberFormat="1" applyFont="1" applyFill="1" applyAlignment="1" applyProtection="1">
      <alignment horizontal="center"/>
      <protection hidden="1"/>
    </xf>
    <xf numFmtId="8" fontId="5" fillId="2" borderId="12" xfId="0" applyNumberFormat="1" applyFont="1" applyFill="1" applyBorder="1" applyAlignment="1" applyProtection="1">
      <alignment horizontal="center"/>
      <protection hidden="1"/>
    </xf>
    <xf numFmtId="0" fontId="9" fillId="2" borderId="13" xfId="0" applyFont="1" applyFill="1" applyBorder="1" applyAlignment="1" applyProtection="1">
      <alignment horizontal="right"/>
      <protection hidden="1"/>
    </xf>
    <xf numFmtId="0" fontId="9" fillId="2" borderId="14" xfId="0" applyFont="1" applyFill="1" applyBorder="1" applyAlignment="1" applyProtection="1">
      <alignment horizontal="right"/>
      <protection hidden="1"/>
    </xf>
    <xf numFmtId="8" fontId="10" fillId="2" borderId="14" xfId="0" applyNumberFormat="1" applyFont="1" applyFill="1" applyBorder="1" applyAlignment="1" applyProtection="1">
      <alignment horizontal="center"/>
      <protection hidden="1"/>
    </xf>
    <xf numFmtId="8" fontId="10" fillId="2" borderId="15" xfId="0" applyNumberFormat="1" applyFont="1" applyFill="1" applyBorder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" wrapText="1"/>
      <protection hidden="1"/>
    </xf>
    <xf numFmtId="9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0" fontId="13" fillId="0" borderId="1" xfId="2" applyNumberFormat="1" applyFont="1" applyBorder="1" applyAlignment="1" applyProtection="1">
      <alignment horizontal="center"/>
      <protection hidden="1"/>
    </xf>
    <xf numFmtId="165" fontId="13" fillId="0" borderId="1" xfId="2" applyNumberFormat="1" applyFont="1" applyBorder="1" applyAlignment="1" applyProtection="1">
      <alignment horizontal="center"/>
      <protection hidden="1"/>
    </xf>
    <xf numFmtId="44" fontId="13" fillId="0" borderId="1" xfId="3" applyFont="1" applyBorder="1" applyAlignment="1" applyProtection="1">
      <alignment horizontal="center"/>
      <protection hidden="1"/>
    </xf>
    <xf numFmtId="44" fontId="13" fillId="0" borderId="1" xfId="3" applyFont="1" applyBorder="1" applyAlignment="1" applyProtection="1">
      <alignment horizontal="center"/>
      <protection locked="0" hidden="1"/>
    </xf>
    <xf numFmtId="44" fontId="13" fillId="0" borderId="3" xfId="3" applyFont="1" applyBorder="1" applyAlignment="1" applyProtection="1">
      <alignment horizontal="center"/>
      <protection hidden="1"/>
    </xf>
    <xf numFmtId="44" fontId="13" fillId="0" borderId="4" xfId="3" applyFont="1" applyBorder="1" applyAlignment="1" applyProtection="1">
      <alignment horizontal="center"/>
      <protection hidden="1"/>
    </xf>
    <xf numFmtId="44" fontId="13" fillId="0" borderId="5" xfId="3" applyFont="1" applyBorder="1" applyAlignment="1" applyProtection="1">
      <alignment horizontal="center"/>
      <protection hidden="1"/>
    </xf>
    <xf numFmtId="164" fontId="23" fillId="0" borderId="0" xfId="3" applyNumberFormat="1" applyFont="1" applyAlignment="1" applyProtection="1">
      <alignment horizontal="center"/>
      <protection hidden="1"/>
    </xf>
    <xf numFmtId="164" fontId="19" fillId="0" borderId="2" xfId="0" applyNumberFormat="1" applyFont="1" applyBorder="1" applyAlignment="1" applyProtection="1">
      <alignment horizontal="center"/>
      <protection hidden="1"/>
    </xf>
    <xf numFmtId="2" fontId="21" fillId="0" borderId="0" xfId="0" applyNumberFormat="1" applyFont="1" applyAlignment="1" applyProtection="1">
      <alignment horizontal="right" vertical="center"/>
      <protection hidden="1"/>
    </xf>
    <xf numFmtId="8" fontId="3" fillId="0" borderId="0" xfId="0" applyNumberFormat="1" applyFont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64" fontId="3" fillId="0" borderId="2" xfId="0" applyNumberFormat="1" applyFont="1" applyBorder="1" applyAlignment="1" applyProtection="1">
      <alignment horizontal="center" vertical="center"/>
      <protection hidden="1"/>
    </xf>
    <xf numFmtId="164" fontId="3" fillId="0" borderId="2" xfId="0" applyNumberFormat="1" applyFont="1" applyBorder="1" applyAlignment="1" applyProtection="1">
      <alignment horizontal="center"/>
      <protection hidden="1"/>
    </xf>
    <xf numFmtId="0" fontId="12" fillId="6" borderId="8" xfId="0" applyFont="1" applyFill="1" applyBorder="1" applyAlignment="1" applyProtection="1">
      <alignment horizontal="center"/>
      <protection hidden="1"/>
    </xf>
    <xf numFmtId="0" fontId="12" fillId="6" borderId="9" xfId="0" applyFont="1" applyFill="1" applyBorder="1" applyAlignment="1" applyProtection="1">
      <alignment horizontal="center"/>
      <protection hidden="1"/>
    </xf>
    <xf numFmtId="0" fontId="12" fillId="6" borderId="10" xfId="0" applyFont="1" applyFill="1" applyBorder="1" applyAlignment="1" applyProtection="1">
      <alignment horizontal="center"/>
      <protection hidden="1"/>
    </xf>
    <xf numFmtId="44" fontId="13" fillId="0" borderId="7" xfId="3" applyFont="1" applyBorder="1" applyAlignment="1" applyProtection="1">
      <alignment horizontal="center"/>
      <protection hidden="1"/>
    </xf>
    <xf numFmtId="10" fontId="13" fillId="0" borderId="7" xfId="2" applyNumberFormat="1" applyFont="1" applyBorder="1" applyAlignment="1" applyProtection="1">
      <alignment horizontal="center"/>
      <protection hidden="1"/>
    </xf>
    <xf numFmtId="165" fontId="13" fillId="0" borderId="7" xfId="0" applyNumberFormat="1" applyFont="1" applyBorder="1" applyAlignment="1" applyProtection="1">
      <alignment horizontal="center"/>
      <protection locked="0" hidden="1"/>
    </xf>
    <xf numFmtId="165" fontId="4" fillId="0" borderId="0" xfId="0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23" fillId="3" borderId="0" xfId="0" applyFont="1" applyFill="1" applyAlignment="1" applyProtection="1">
      <alignment horizontal="center"/>
      <protection hidden="1"/>
    </xf>
    <xf numFmtId="0" fontId="24" fillId="3" borderId="0" xfId="0" applyFont="1" applyFill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 vertical="center"/>
      <protection hidden="1"/>
    </xf>
  </cellXfs>
  <cellStyles count="5">
    <cellStyle name="Hiperlink" xfId="4" builtinId="8"/>
    <cellStyle name="Moeda" xfId="3" builtinId="4"/>
    <cellStyle name="Normal" xfId="0" builtinId="0"/>
    <cellStyle name="Porcentagem" xfId="2" builtinId="5"/>
    <cellStyle name="Vírgula" xfId="1" builtinId="3"/>
  </cellStyles>
  <dxfs count="36">
    <dxf>
      <font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E2EFDA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 val="0"/>
        <strike val="0"/>
        <outline val="0"/>
        <shadow val="0"/>
        <vertAlign val="baseline"/>
        <sz val="12"/>
        <color theme="1" tint="0.249977111117893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outline val="0"/>
        <shadow val="0"/>
        <vertAlign val="baseline"/>
        <sz val="12"/>
        <color theme="1" tint="0.249977111117893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outline val="0"/>
        <shadow val="0"/>
        <vertAlign val="baseline"/>
        <sz val="12"/>
        <color theme="1" tint="0.249977111117893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outline val="0"/>
        <shadow val="0"/>
        <vertAlign val="baseline"/>
        <sz val="12"/>
        <color theme="1" tint="0.249977111117893"/>
        <name val="Calibri"/>
        <scheme val="minor"/>
      </font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outline val="0"/>
        <shadow val="0"/>
        <vertAlign val="baseline"/>
        <sz val="12"/>
        <color theme="1" tint="0.249977111117893"/>
        <name val="Calibri"/>
        <scheme val="minor"/>
      </font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outline val="0"/>
        <shadow val="0"/>
        <vertAlign val="baseline"/>
        <sz val="12"/>
        <color theme="1" tint="0.249977111117893"/>
        <name val="Calibri"/>
        <scheme val="minor"/>
      </font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outline val="0"/>
        <shadow val="0"/>
        <vertAlign val="baseline"/>
        <sz val="12"/>
        <color theme="1" tint="0.249977111117893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2"/>
        <color theme="1" tint="0.24997711111789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</dxfs>
  <tableStyles count="0" defaultTableStyle="TableStyleMedium2" defaultPivotStyle="PivotStyleLight16"/>
  <colors>
    <mruColors>
      <color rgb="FFE2EFDA"/>
      <color rgb="FF4B87FF"/>
      <color rgb="FF00236A"/>
      <color rgb="FFDDDDFF"/>
      <color rgb="FFFFFFE1"/>
      <color rgb="FFFFFFD1"/>
      <color rgb="FFFFFFC9"/>
      <color rgb="FFFFFFB7"/>
      <color rgb="FFFFFF9F"/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5" dropStyle="combo" dx="22" fmlaLink="$CF$5" fmlaRange="DimOperador!$B$2:$B$13" sel="11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19050</xdr:colOff>
          <xdr:row>3</xdr:row>
          <xdr:rowOff>133350</xdr:rowOff>
        </xdr:from>
        <xdr:to>
          <xdr:col>91</xdr:col>
          <xdr:colOff>9525</xdr:colOff>
          <xdr:row>5</xdr:row>
          <xdr:rowOff>76200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E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</xdr:col>
          <xdr:colOff>257175</xdr:colOff>
          <xdr:row>1</xdr:row>
          <xdr:rowOff>152400</xdr:rowOff>
        </xdr:from>
        <xdr:to>
          <xdr:col>121</xdr:col>
          <xdr:colOff>600075</xdr:colOff>
          <xdr:row>4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E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fechamento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54</xdr:row>
      <xdr:rowOff>38099</xdr:rowOff>
    </xdr:from>
    <xdr:to>
      <xdr:col>37</xdr:col>
      <xdr:colOff>53550</xdr:colOff>
      <xdr:row>55</xdr:row>
      <xdr:rowOff>18074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457450" y="11068049"/>
          <a:ext cx="1368000" cy="180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bg2">
                  <a:lumMod val="25000"/>
                </a:schemeClr>
              </a:solidFill>
            </a:rPr>
            <a:t>Ótimo / Excelente</a:t>
          </a:r>
        </a:p>
      </xdr:txBody>
    </xdr:sp>
    <xdr:clientData/>
  </xdr:twoCellAnchor>
  <xdr:twoCellAnchor>
    <xdr:from>
      <xdr:col>14</xdr:col>
      <xdr:colOff>0</xdr:colOff>
      <xdr:row>55</xdr:row>
      <xdr:rowOff>33337</xdr:rowOff>
    </xdr:from>
    <xdr:to>
      <xdr:col>37</xdr:col>
      <xdr:colOff>53550</xdr:colOff>
      <xdr:row>56</xdr:row>
      <xdr:rowOff>13312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2457450" y="11263312"/>
          <a:ext cx="1368000" cy="180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bg2">
                  <a:lumMod val="25000"/>
                </a:schemeClr>
              </a:solidFill>
            </a:rPr>
            <a:t>Bom / Regular</a:t>
          </a:r>
        </a:p>
      </xdr:txBody>
    </xdr:sp>
    <xdr:clientData/>
  </xdr:twoCellAnchor>
  <xdr:twoCellAnchor>
    <xdr:from>
      <xdr:col>14</xdr:col>
      <xdr:colOff>0</xdr:colOff>
      <xdr:row>56</xdr:row>
      <xdr:rowOff>28574</xdr:rowOff>
    </xdr:from>
    <xdr:to>
      <xdr:col>37</xdr:col>
      <xdr:colOff>53550</xdr:colOff>
      <xdr:row>56</xdr:row>
      <xdr:rowOff>208574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2457450" y="11458574"/>
          <a:ext cx="1368000" cy="180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bg2">
                  <a:lumMod val="25000"/>
                </a:schemeClr>
              </a:solidFill>
            </a:rPr>
            <a:t>Ruim / Insatisfatório</a:t>
          </a:r>
        </a:p>
      </xdr:txBody>
    </xdr:sp>
    <xdr:clientData/>
  </xdr:twoCellAnchor>
  <xdr:twoCellAnchor>
    <xdr:from>
      <xdr:col>13</xdr:col>
      <xdr:colOff>47625</xdr:colOff>
      <xdr:row>52</xdr:row>
      <xdr:rowOff>142874</xdr:rowOff>
    </xdr:from>
    <xdr:to>
      <xdr:col>37</xdr:col>
      <xdr:colOff>44025</xdr:colOff>
      <xdr:row>54</xdr:row>
      <xdr:rowOff>37124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2447925" y="10887074"/>
          <a:ext cx="1368000" cy="18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</a:rPr>
            <a:t>LEGENDA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1" xr16:uid="{00000000-0016-0000-0100-000000000000}" autoFormatId="16" applyNumberFormats="0" applyBorderFormats="0" applyFontFormats="0" applyPatternFormats="0" applyAlignmentFormats="0" applyWidthHeightFormats="0">
  <queryTableRefresh nextId="10">
    <queryTableFields count="5">
      <queryTableField id="1" name="operador avaliado" tableColumnId="1"/>
      <queryTableField id="2" name="criterio" tableColumnId="2"/>
      <queryTableField id="3" name="criterio limpo" tableColumnId="3"/>
      <queryTableField id="8" name="Media" tableColumnId="4"/>
      <queryTableField id="7" name="Primeiros caracteres" tableColumnId="6"/>
    </queryTableFields>
  </queryTableRefresh>
  <extLst>
    <ext xmlns:x15="http://schemas.microsoft.com/office/spreadsheetml/2010/11/main" uri="{883FBD77-0823-4a55-B5E3-86C4891E6966}">
      <x15:queryTable sourceDataName="Consulta - Media Operador x Criterio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6" xr16:uid="{00000000-0016-0000-0200-000001000000}" autoFormatId="16" applyNumberFormats="0" applyBorderFormats="0" applyFontFormats="0" applyPatternFormats="0" applyAlignmentFormats="0" applyWidthHeightFormats="0">
  <queryTableRefresh nextId="3">
    <queryTableFields count="2">
      <queryTableField id="1" name="operador avaliado" tableColumnId="1"/>
      <queryTableField id="2" name="soma da media criterio" tableColumnId="2"/>
    </queryTableFields>
  </queryTableRefresh>
  <extLst>
    <ext xmlns:x15="http://schemas.microsoft.com/office/spreadsheetml/2010/11/main" uri="{883FBD77-0823-4a55-B5E3-86C4891E6966}">
      <x15:queryTable sourceDataName="Consulta - Media Ponderad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27" xr16:uid="{00000000-0016-0000-0300-000002000000}" autoFormatId="16" applyNumberFormats="0" applyBorderFormats="0" applyFontFormats="0" applyPatternFormats="0" applyAlignmentFormats="0" applyWidthHeightFormats="0">
  <queryTableRefresh nextId="4">
    <queryTableFields count="3">
      <queryTableField id="1" name="criterio" tableColumnId="1"/>
      <queryTableField id="2" name="criterio limpo" tableColumnId="2"/>
      <queryTableField id="3" name="Primeiros caracteres" tableColumnId="3"/>
    </queryTableFields>
  </queryTableRefresh>
  <extLst>
    <ext xmlns:x15="http://schemas.microsoft.com/office/spreadsheetml/2010/11/main" uri="{883FBD77-0823-4a55-B5E3-86C4891E6966}">
      <x15:queryTable sourceDataName="Consulta - AuxCriterios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28" xr16:uid="{00000000-0016-0000-0400-000003000000}" autoFormatId="16" applyNumberFormats="0" applyBorderFormats="0" applyFontFormats="0" applyPatternFormats="0" applyAlignmentFormats="0" applyWidthHeightFormats="0">
  <queryTableRefresh nextId="3">
    <queryTableFields count="2">
      <queryTableField id="1" name="operador avaliado" tableColumnId="1"/>
      <queryTableField id="2" name="% aproveitamento" tableColumnId="2"/>
    </queryTableFields>
  </queryTableRefresh>
  <extLst>
    <ext xmlns:x15="http://schemas.microsoft.com/office/spreadsheetml/2010/11/main" uri="{883FBD77-0823-4a55-B5E3-86C4891E6966}">
      <x15:queryTable sourceDataName="Consulta - % Aproveitamento geral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2" xr16:uid="{00000000-0016-0000-0500-000004000000}" autoFormatId="16" applyNumberFormats="0" applyBorderFormats="0" applyFontFormats="0" applyPatternFormats="0" applyAlignmentFormats="0" applyWidthHeightFormats="0">
  <queryTableRefresh nextId="6">
    <queryTableFields count="2">
      <queryTableField id="4" name="Nome na avaliação 360" tableColumnId="4"/>
      <queryTableField id="5" name="Situação" tableColumnId="5"/>
    </queryTableFields>
  </queryTableRefresh>
  <extLst>
    <ext xmlns:x15="http://schemas.microsoft.com/office/spreadsheetml/2010/11/main" uri="{883FBD77-0823-4a55-B5E3-86C4891E6966}">
      <x15:queryTable sourceDataName="Consulta - validausuario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3" xr16:uid="{00000000-0016-0000-0700-000005000000}" autoFormatId="16" applyNumberFormats="0" applyBorderFormats="0" applyFontFormats="0" applyPatternFormats="0" applyAlignmentFormats="0" applyWidthHeightFormats="0">
  <queryTableRefresh nextId="9">
    <queryTableFields count="2">
      <queryTableField id="7" name="Operador" tableColumnId="1"/>
      <queryTableField id="3" name="Tickets" tableColumnId="3"/>
    </queryTableFields>
  </queryTableRefresh>
  <extLst>
    <ext xmlns:x15="http://schemas.microsoft.com/office/spreadsheetml/2010/11/main" uri="{883FBD77-0823-4a55-B5E3-86C4891E6966}">
      <x15:queryTable sourceDataName="Consulta - AtendimentosQuantitativo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5" xr16:uid="{00000000-0016-0000-0800-000006000000}" autoFormatId="16" applyNumberFormats="0" applyBorderFormats="0" applyFontFormats="0" applyPatternFormats="0" applyAlignmentFormats="0" applyWidthHeightFormats="0">
  <queryTableRefresh nextId="5">
    <queryTableFields count="4">
      <queryTableField id="1" name="MesAno Abertura Considerar" tableColumnId="1"/>
      <queryTableField id="2" name="TicketsMetaPri" tableColumnId="2"/>
      <queryTableField id="3" name="Tickets" tableColumnId="3"/>
      <queryTableField id="4" name="%MetaPri" tableColumnId="4"/>
    </queryTableFields>
  </queryTableRefresh>
  <extLst>
    <ext xmlns:x15="http://schemas.microsoft.com/office/spreadsheetml/2010/11/main" uri="{883FBD77-0823-4a55-B5E3-86C4891E6966}">
      <x15:queryTable sourceDataName="Consulta - QtdeTicketsMetaPri"/>
    </ext>
  </extLst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4" xr16:uid="{00000000-0016-0000-0900-000007000000}" autoFormatId="16" applyNumberFormats="0" applyBorderFormats="0" applyFontFormats="0" applyPatternFormats="0" applyAlignmentFormats="0" applyWidthHeightFormats="0">
  <queryTableRefresh nextId="8">
    <queryTableFields count="2">
      <queryTableField id="6" name="Operador" tableColumnId="1"/>
      <queryTableField id="7" name="media" tableColumnId="2"/>
    </queryTableFields>
  </queryTableRefresh>
  <extLst>
    <ext xmlns:x15="http://schemas.microsoft.com/office/spreadsheetml/2010/11/main" uri="{883FBD77-0823-4a55-B5E3-86C4891E6966}">
      <x15:queryTable sourceDataName="Consulta - AtendimentosAvaliacao"/>
    </ext>
  </extLst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backgroundRefresh="0" connectionId="29" xr16:uid="{00000000-0016-0000-0C00-000008000000}" autoFormatId="16" applyNumberFormats="0" applyBorderFormats="0" applyFontFormats="0" applyPatternFormats="0" applyAlignmentFormats="0" applyWidthHeightFormats="0">
  <queryTableRefresh nextId="6">
    <queryTableFields count="2">
      <queryTableField id="4" name="id" tableColumnId="2"/>
      <queryTableField id="1" name="operador avaliado" tableColumnId="1"/>
    </queryTableFields>
  </queryTableRefresh>
  <extLst>
    <ext xmlns:x15="http://schemas.microsoft.com/office/spreadsheetml/2010/11/main" uri="{883FBD77-0823-4a55-B5E3-86C4891E6966}">
      <x15:queryTable sourceDataName="Consulta - DimOperador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Media_Operador_x_Criterio" displayName="Media_Operador_x_Criterio" ref="B5:F161" tableType="queryTable" totalsRowShown="0">
  <sortState xmlns:xlrd2="http://schemas.microsoft.com/office/spreadsheetml/2017/richdata2" ref="B6:F161">
    <sortCondition ref="C6:C161"/>
    <sortCondition ref="B6:B161"/>
  </sortState>
  <tableColumns count="5">
    <tableColumn id="1" xr3:uid="{00000000-0010-0000-0000-000001000000}" uniqueName="1" name="operador avaliado" queryTableFieldId="1" dataDxfId="35"/>
    <tableColumn id="2" xr3:uid="{00000000-0010-0000-0000-000002000000}" uniqueName="2" name="criterio" queryTableFieldId="2" dataDxfId="34"/>
    <tableColumn id="3" xr3:uid="{00000000-0010-0000-0000-000003000000}" uniqueName="3" name="criterio limpo" queryTableFieldId="3" dataDxfId="33"/>
    <tableColumn id="4" xr3:uid="{00000000-0010-0000-0000-000004000000}" uniqueName="4" name="Media" queryTableFieldId="8" dataDxfId="32"/>
    <tableColumn id="6" xr3:uid="{00000000-0010-0000-0000-000006000000}" uniqueName="6" name="Primeiros caracteres" queryTableFieldId="7" dataDxfId="3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Media_Ponderada" displayName="Media_Ponderada" ref="A1:B13" tableType="queryTable" totalsRowShown="0">
  <autoFilter ref="A1:B13" xr:uid="{00000000-0009-0000-0100-000008000000}"/>
  <tableColumns count="2">
    <tableColumn id="1" xr3:uid="{00000000-0010-0000-0100-000001000000}" uniqueName="1" name="operador avaliado" queryTableFieldId="1" dataDxfId="30"/>
    <tableColumn id="2" xr3:uid="{00000000-0010-0000-0100-000002000000}" uniqueName="2" name="soma da media criterio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AuxCriterios" displayName="AuxCriterios" ref="B1:D14" tableType="queryTable" totalsRowShown="0">
  <autoFilter ref="B1:D14" xr:uid="{00000000-0009-0000-0100-000009000000}"/>
  <tableColumns count="3">
    <tableColumn id="1" xr3:uid="{00000000-0010-0000-0200-000001000000}" uniqueName="1" name="criterio" queryTableFieldId="1" dataDxfId="29"/>
    <tableColumn id="2" xr3:uid="{00000000-0010-0000-0200-000002000000}" uniqueName="2" name="criterio limpo" queryTableFieldId="2" dataDxfId="28"/>
    <tableColumn id="3" xr3:uid="{00000000-0010-0000-0200-000003000000}" uniqueName="3" name="Primeiros caracteres" queryTableFieldId="3" dataDxfId="2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Aproveitamento_geral" displayName="Aproveitamento_geral" ref="B6:C18" tableType="queryTable" totalsRowShown="0">
  <autoFilter ref="B6:C18" xr:uid="{00000000-0009-0000-0100-00000A000000}"/>
  <sortState xmlns:xlrd2="http://schemas.microsoft.com/office/spreadsheetml/2017/richdata2" ref="B7:C18">
    <sortCondition ref="C6:C18"/>
  </sortState>
  <tableColumns count="2">
    <tableColumn id="1" xr3:uid="{00000000-0010-0000-0300-000001000000}" uniqueName="1" name="operador avaliado" queryTableFieldId="1" dataDxfId="26"/>
    <tableColumn id="2" xr3:uid="{00000000-0010-0000-0300-000002000000}" uniqueName="2" name="% aproveitamento" queryTableFieldId="2" dataDxfId="25" dataCellStyle="Porcentagem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validausuario" displayName="validausuario" ref="A1:B10" tableType="queryTable" totalsRowShown="0">
  <autoFilter ref="A1:B10" xr:uid="{00000000-0009-0000-0100-000002000000}"/>
  <tableColumns count="2">
    <tableColumn id="4" xr3:uid="{00000000-0010-0000-0400-000004000000}" uniqueName="4" name="Nome na avaliação 360" queryTableFieldId="4"/>
    <tableColumn id="5" xr3:uid="{00000000-0010-0000-0400-000005000000}" uniqueName="5" name="Situação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Parametros" displayName="Parametros" ref="C2:D4" totalsRowShown="0">
  <autoFilter ref="C2:D4" xr:uid="{00000000-0009-0000-0100-000001000000}"/>
  <tableColumns count="2">
    <tableColumn id="1" xr3:uid="{00000000-0010-0000-0500-000001000000}" name="Parametro"/>
    <tableColumn id="2" xr3:uid="{00000000-0010-0000-0500-000002000000}" name="Valo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AtendimentosQuantitativo" displayName="AtendimentosQuantitativo" ref="A1:B2" tableType="queryTable" insertRow="1" totalsRowShown="0">
  <autoFilter ref="A1:B2" xr:uid="{00000000-0009-0000-0100-00000C000000}"/>
  <tableColumns count="2">
    <tableColumn id="1" xr3:uid="{00000000-0010-0000-0600-000001000000}" uniqueName="1" name="Operador" queryTableFieldId="7"/>
    <tableColumn id="3" xr3:uid="{00000000-0010-0000-0600-000003000000}" uniqueName="3" name="Tickets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QtdeTicketsMetaPri" displayName="QtdeTicketsMetaPri" ref="A1:D2" tableType="queryTable" insertRow="1" totalsRowShown="0">
  <autoFilter ref="A1:D2" xr:uid="{00000000-0009-0000-0100-00000E000000}"/>
  <tableColumns count="4">
    <tableColumn id="1" xr3:uid="{00000000-0010-0000-0700-000001000000}" uniqueName="1" name="MesAno Abertura Considerar" queryTableFieldId="1"/>
    <tableColumn id="2" xr3:uid="{00000000-0010-0000-0700-000002000000}" uniqueName="2" name="TicketsMetaPri" queryTableFieldId="2"/>
    <tableColumn id="3" xr3:uid="{00000000-0010-0000-0700-000003000000}" uniqueName="3" name="tickets" queryTableFieldId="3"/>
    <tableColumn id="4" xr3:uid="{00000000-0010-0000-0700-000004000000}" uniqueName="4" name="%MetaPri" queryTableFieldId="4" dataDxfId="24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AtendimentosAvaliacao" displayName="AtendimentosAvaliacao" ref="A1:B2" tableType="queryTable" insertRow="1" totalsRowShown="0">
  <autoFilter ref="A1:B2" xr:uid="{00000000-0009-0000-0100-00000D000000}"/>
  <tableColumns count="2">
    <tableColumn id="1" xr3:uid="{00000000-0010-0000-0800-000001000000}" uniqueName="1" name="Operador" queryTableFieldId="6"/>
    <tableColumn id="2" xr3:uid="{00000000-0010-0000-0800-000002000000}" uniqueName="2" name="media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DimOperador" displayName="DimOperador" ref="A1:B13" tableType="queryTable" totalsRowShown="0">
  <autoFilter ref="A1:B13" xr:uid="{00000000-0009-0000-0100-00000B000000}"/>
  <tableColumns count="2">
    <tableColumn id="2" xr3:uid="{00000000-0010-0000-0900-000002000000}" uniqueName="2" name="id" queryTableFieldId="4"/>
    <tableColumn id="1" xr3:uid="{00000000-0010-0000-0900-000001000000}" uniqueName="1" name="operador avaliado" queryTableFieldId="1" dataDxfId="2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OperadoresMySuiteXAvaliacao" displayName="OperadoresMySuiteXAvaliacao" ref="B4:G18" totalsRowShown="0" headerRowDxfId="22" dataDxfId="21">
  <autoFilter ref="B4:G18" xr:uid="{00000000-0009-0000-0100-000006000000}"/>
  <sortState xmlns:xlrd2="http://schemas.microsoft.com/office/spreadsheetml/2017/richdata2" ref="B5:G16">
    <sortCondition ref="B4:B16"/>
  </sortState>
  <tableColumns count="6">
    <tableColumn id="1" xr3:uid="{00000000-0010-0000-0A00-000001000000}" name="Usuário Suporte" dataDxfId="20"/>
    <tableColumn id="3" xr3:uid="{00000000-0010-0000-0A00-000003000000}" name="Premiação" dataDxfId="19"/>
    <tableColumn id="4" xr3:uid="{00000000-0010-0000-0A00-000004000000}" name="Faltas" dataDxfId="18"/>
    <tableColumn id="5" xr3:uid="{00000000-0010-0000-0A00-000005000000}" name="Preenchimento Incorreto Tickets (qtde)" dataDxfId="17" dataCellStyle="Vírgula"/>
    <tableColumn id="6" xr3:uid="{00000000-0010-0000-0A00-000006000000}" name="Solicitação Indevida             ( Qtde)" dataDxfId="16"/>
    <tableColumn id="7" xr3:uid="{00000000-0010-0000-0A00-000007000000}" name="Reabertura Tickets" dataDxfId="1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file:///\\space9001\BI%20NOVO\RelatoriosMysuite\ListagemCompleta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K6:T60"/>
  <sheetViews>
    <sheetView topLeftCell="C1" workbookViewId="0">
      <selection activeCell="H13" sqref="H13"/>
    </sheetView>
  </sheetViews>
  <sheetFormatPr defaultColWidth="9.140625" defaultRowHeight="15"/>
  <cols>
    <col min="1" max="18" width="9.140625" style="1" customWidth="1"/>
    <col min="19" max="19" width="17.7109375" style="1" customWidth="1"/>
    <col min="20" max="20" width="7" style="1" customWidth="1"/>
    <col min="21" max="16384" width="9.140625" style="1"/>
  </cols>
  <sheetData>
    <row r="6" spans="11:20" ht="18" customHeight="1">
      <c r="K6" s="82" t="s">
        <v>0</v>
      </c>
      <c r="L6" s="82"/>
      <c r="M6" s="82"/>
      <c r="N6" s="82"/>
      <c r="O6" s="82"/>
      <c r="P6" s="82"/>
      <c r="Q6" s="82"/>
      <c r="R6" s="82"/>
      <c r="S6" s="82"/>
      <c r="T6" s="82"/>
    </row>
    <row r="7" spans="11:20" ht="18" customHeight="1">
      <c r="K7" s="82"/>
      <c r="L7" s="82"/>
      <c r="M7" s="82"/>
      <c r="N7" s="82"/>
      <c r="O7" s="82"/>
      <c r="P7" s="82"/>
      <c r="Q7" s="82"/>
      <c r="R7" s="82"/>
      <c r="S7" s="82"/>
      <c r="T7" s="82"/>
    </row>
    <row r="8" spans="11:20" ht="15" customHeight="1">
      <c r="K8" s="80" t="s">
        <v>1</v>
      </c>
      <c r="L8" s="80"/>
      <c r="M8" s="80"/>
      <c r="N8" s="80"/>
      <c r="O8" s="80"/>
      <c r="P8" s="80"/>
      <c r="Q8" s="80"/>
      <c r="R8" s="80"/>
      <c r="S8" s="80"/>
      <c r="T8" s="16"/>
    </row>
    <row r="9" spans="11:20" ht="15" customHeight="1">
      <c r="K9" s="68" t="s">
        <v>2</v>
      </c>
      <c r="L9" s="68"/>
      <c r="M9" s="68"/>
      <c r="N9" s="68"/>
      <c r="O9" s="68"/>
      <c r="P9" s="68"/>
      <c r="Q9" s="68"/>
      <c r="R9" s="68"/>
      <c r="S9" s="68"/>
      <c r="T9" s="20" t="s">
        <v>3</v>
      </c>
    </row>
    <row r="10" spans="11:20">
      <c r="K10" s="67" t="s">
        <v>4</v>
      </c>
      <c r="L10" s="67"/>
      <c r="M10" s="67"/>
      <c r="N10" s="67"/>
      <c r="O10" s="67"/>
      <c r="P10" s="67"/>
      <c r="Q10" s="67"/>
      <c r="R10" s="67"/>
      <c r="S10" s="67"/>
      <c r="T10" s="65">
        <v>0.95</v>
      </c>
    </row>
    <row r="11" spans="11:20">
      <c r="K11" s="67"/>
      <c r="L11" s="67"/>
      <c r="M11" s="67"/>
      <c r="N11" s="67"/>
      <c r="O11" s="67"/>
      <c r="P11" s="67"/>
      <c r="Q11" s="67"/>
      <c r="R11" s="67"/>
      <c r="S11" s="67"/>
      <c r="T11" s="66"/>
    </row>
    <row r="12" spans="11:20" ht="15" customHeight="1">
      <c r="K12" s="67" t="s">
        <v>5</v>
      </c>
      <c r="L12" s="67"/>
      <c r="M12" s="67"/>
      <c r="N12" s="67"/>
      <c r="O12" s="67"/>
      <c r="P12" s="67"/>
      <c r="Q12" s="67"/>
      <c r="R12" s="67"/>
      <c r="S12" s="67"/>
      <c r="T12" s="65">
        <v>1.95</v>
      </c>
    </row>
    <row r="13" spans="11:20" ht="15" customHeight="1">
      <c r="K13" s="67"/>
      <c r="L13" s="67"/>
      <c r="M13" s="67"/>
      <c r="N13" s="67"/>
      <c r="O13" s="67"/>
      <c r="P13" s="67"/>
      <c r="Q13" s="67"/>
      <c r="R13" s="67"/>
      <c r="S13" s="67"/>
      <c r="T13" s="66"/>
    </row>
    <row r="14" spans="11:20">
      <c r="K14" s="67" t="s">
        <v>4</v>
      </c>
      <c r="L14" s="67"/>
      <c r="M14" s="67"/>
      <c r="N14" s="67"/>
      <c r="O14" s="67"/>
      <c r="P14" s="67"/>
      <c r="Q14" s="67"/>
      <c r="R14" s="67"/>
      <c r="S14" s="67"/>
      <c r="T14" s="65">
        <v>2.95</v>
      </c>
    </row>
    <row r="15" spans="11:20">
      <c r="K15" s="67"/>
      <c r="L15" s="67"/>
      <c r="M15" s="67"/>
      <c r="N15" s="67"/>
      <c r="O15" s="67"/>
      <c r="P15" s="67"/>
      <c r="Q15" s="67"/>
      <c r="R15" s="67"/>
      <c r="S15" s="67"/>
      <c r="T15" s="66"/>
    </row>
    <row r="16" spans="11:20">
      <c r="K16" s="67" t="s">
        <v>6</v>
      </c>
      <c r="L16" s="67"/>
      <c r="M16" s="67"/>
      <c r="N16" s="67"/>
      <c r="O16" s="67"/>
      <c r="P16" s="67"/>
      <c r="Q16" s="67"/>
      <c r="R16" s="67"/>
      <c r="S16" s="67"/>
      <c r="T16" s="65">
        <v>3.95</v>
      </c>
    </row>
    <row r="17" spans="11:20">
      <c r="K17" s="67"/>
      <c r="L17" s="67"/>
      <c r="M17" s="67"/>
      <c r="N17" s="67"/>
      <c r="O17" s="67"/>
      <c r="P17" s="67"/>
      <c r="Q17" s="67"/>
      <c r="R17" s="67"/>
      <c r="S17" s="67"/>
      <c r="T17" s="66"/>
    </row>
    <row r="18" spans="11:20">
      <c r="K18" s="67" t="s">
        <v>4</v>
      </c>
      <c r="L18" s="67"/>
      <c r="M18" s="67"/>
      <c r="N18" s="67"/>
      <c r="O18" s="67"/>
      <c r="P18" s="67"/>
      <c r="Q18" s="67"/>
      <c r="R18" s="67"/>
      <c r="S18" s="67"/>
      <c r="T18" s="71">
        <v>4.95</v>
      </c>
    </row>
    <row r="19" spans="11:20">
      <c r="K19" s="67"/>
      <c r="L19" s="67"/>
      <c r="M19" s="67"/>
      <c r="N19" s="67"/>
      <c r="O19" s="67"/>
      <c r="P19" s="67"/>
      <c r="Q19" s="67"/>
      <c r="R19" s="67"/>
      <c r="S19" s="67"/>
      <c r="T19" s="72"/>
    </row>
    <row r="20" spans="11:20">
      <c r="K20" s="67" t="s">
        <v>6</v>
      </c>
      <c r="L20" s="67"/>
      <c r="M20" s="67"/>
      <c r="N20" s="67"/>
      <c r="O20" s="67"/>
      <c r="P20" s="67"/>
      <c r="Q20" s="67"/>
      <c r="R20" s="67"/>
      <c r="S20" s="67"/>
      <c r="T20" s="71">
        <v>5.95</v>
      </c>
    </row>
    <row r="21" spans="11:20">
      <c r="K21" s="67"/>
      <c r="L21" s="67"/>
      <c r="M21" s="67"/>
      <c r="N21" s="67"/>
      <c r="O21" s="67"/>
      <c r="P21" s="67"/>
      <c r="Q21" s="67"/>
      <c r="R21" s="67"/>
      <c r="S21" s="67"/>
      <c r="T21" s="72"/>
    </row>
    <row r="22" spans="11:20">
      <c r="K22" s="67" t="s">
        <v>4</v>
      </c>
      <c r="L22" s="67"/>
      <c r="M22" s="67"/>
      <c r="N22" s="67"/>
      <c r="O22" s="67"/>
      <c r="P22" s="67"/>
      <c r="Q22" s="67"/>
      <c r="R22" s="67"/>
      <c r="S22" s="67"/>
      <c r="T22" s="69">
        <v>6.95</v>
      </c>
    </row>
    <row r="23" spans="11:20">
      <c r="K23" s="67"/>
      <c r="L23" s="67"/>
      <c r="M23" s="67"/>
      <c r="N23" s="67"/>
      <c r="O23" s="67"/>
      <c r="P23" s="67"/>
      <c r="Q23" s="67"/>
      <c r="R23" s="67"/>
      <c r="S23" s="67"/>
      <c r="T23" s="70"/>
    </row>
    <row r="24" spans="11:20">
      <c r="K24" s="67" t="s">
        <v>6</v>
      </c>
      <c r="L24" s="67"/>
      <c r="M24" s="67"/>
      <c r="N24" s="67"/>
      <c r="O24" s="67"/>
      <c r="P24" s="67"/>
      <c r="Q24" s="67"/>
      <c r="R24" s="67"/>
      <c r="S24" s="67"/>
      <c r="T24" s="69">
        <v>7.95</v>
      </c>
    </row>
    <row r="25" spans="11:20">
      <c r="K25" s="67"/>
      <c r="L25" s="67"/>
      <c r="M25" s="67"/>
      <c r="N25" s="67"/>
      <c r="O25" s="67"/>
      <c r="P25" s="67"/>
      <c r="Q25" s="67"/>
      <c r="R25" s="67"/>
      <c r="S25" s="67"/>
      <c r="T25" s="70"/>
    </row>
    <row r="26" spans="11:20">
      <c r="K26" s="67" t="s">
        <v>4</v>
      </c>
      <c r="L26" s="67"/>
      <c r="M26" s="67"/>
      <c r="N26" s="67"/>
      <c r="O26" s="67"/>
      <c r="P26" s="67"/>
      <c r="Q26" s="67"/>
      <c r="R26" s="67"/>
      <c r="S26" s="67"/>
      <c r="T26" s="69">
        <v>8.9499999999999993</v>
      </c>
    </row>
    <row r="27" spans="11:20">
      <c r="K27" s="67"/>
      <c r="L27" s="67"/>
      <c r="M27" s="67"/>
      <c r="N27" s="67"/>
      <c r="O27" s="67"/>
      <c r="P27" s="67"/>
      <c r="Q27" s="67"/>
      <c r="R27" s="67"/>
      <c r="S27" s="67"/>
      <c r="T27" s="70"/>
    </row>
    <row r="28" spans="11:20">
      <c r="K28" s="67" t="s">
        <v>6</v>
      </c>
      <c r="L28" s="67"/>
      <c r="M28" s="67"/>
      <c r="N28" s="67"/>
      <c r="O28" s="67"/>
      <c r="P28" s="67"/>
      <c r="Q28" s="67"/>
      <c r="R28" s="67"/>
      <c r="S28" s="67"/>
      <c r="T28" s="69">
        <v>9.9499999999999993</v>
      </c>
    </row>
    <row r="29" spans="11:20">
      <c r="K29" s="67"/>
      <c r="L29" s="67"/>
      <c r="M29" s="67"/>
      <c r="N29" s="67"/>
      <c r="O29" s="67"/>
      <c r="P29" s="67"/>
      <c r="Q29" s="67"/>
      <c r="R29" s="67"/>
      <c r="S29" s="67"/>
      <c r="T29" s="70"/>
    </row>
    <row r="30" spans="11:20">
      <c r="K30" s="67" t="s">
        <v>4</v>
      </c>
      <c r="L30" s="67"/>
      <c r="M30" s="67"/>
      <c r="N30" s="67"/>
      <c r="O30" s="67"/>
      <c r="P30" s="67"/>
      <c r="Q30" s="67"/>
      <c r="R30" s="67"/>
      <c r="S30" s="67"/>
      <c r="T30" s="71">
        <v>10.95</v>
      </c>
    </row>
    <row r="31" spans="11:20">
      <c r="K31" s="67"/>
      <c r="L31" s="67"/>
      <c r="M31" s="67"/>
      <c r="N31" s="67"/>
      <c r="O31" s="67"/>
      <c r="P31" s="67"/>
      <c r="Q31" s="67"/>
      <c r="R31" s="67"/>
      <c r="S31" s="67"/>
      <c r="T31" s="72"/>
    </row>
    <row r="32" spans="11:20">
      <c r="K32" s="67" t="s">
        <v>6</v>
      </c>
      <c r="L32" s="67"/>
      <c r="M32" s="67"/>
      <c r="N32" s="67"/>
      <c r="O32" s="67"/>
      <c r="P32" s="67"/>
      <c r="Q32" s="67"/>
      <c r="R32" s="67"/>
      <c r="S32" s="67"/>
      <c r="T32" s="71">
        <v>11.95</v>
      </c>
    </row>
    <row r="33" spans="11:20">
      <c r="K33" s="67"/>
      <c r="L33" s="67"/>
      <c r="M33" s="67"/>
      <c r="N33" s="67"/>
      <c r="O33" s="67"/>
      <c r="P33" s="67"/>
      <c r="Q33" s="67"/>
      <c r="R33" s="67"/>
      <c r="S33" s="67"/>
      <c r="T33" s="72"/>
    </row>
    <row r="34" spans="11:20">
      <c r="K34" s="67" t="s">
        <v>6</v>
      </c>
      <c r="L34" s="67"/>
      <c r="M34" s="67"/>
      <c r="N34" s="67"/>
      <c r="O34" s="67"/>
      <c r="P34" s="67"/>
      <c r="Q34" s="67"/>
      <c r="R34" s="67"/>
      <c r="S34" s="67"/>
      <c r="T34" s="71">
        <v>11.95</v>
      </c>
    </row>
    <row r="35" spans="11:20">
      <c r="K35" s="67"/>
      <c r="L35" s="67"/>
      <c r="M35" s="67"/>
      <c r="N35" s="67"/>
      <c r="O35" s="67"/>
      <c r="P35" s="67"/>
      <c r="Q35" s="67"/>
      <c r="R35" s="67"/>
      <c r="S35" s="67"/>
      <c r="T35" s="72"/>
    </row>
    <row r="36" spans="11:20" ht="8.1" customHeight="1">
      <c r="K36" s="7"/>
      <c r="L36" s="7"/>
      <c r="M36" s="7"/>
      <c r="N36" s="7"/>
      <c r="O36" s="7"/>
      <c r="P36" s="7"/>
      <c r="Q36" s="7"/>
      <c r="R36" s="7"/>
      <c r="S36" s="7"/>
      <c r="T36" s="8"/>
    </row>
    <row r="37" spans="11:20" ht="15.75">
      <c r="K37" s="73"/>
      <c r="L37" s="73"/>
      <c r="M37" s="4"/>
      <c r="N37"/>
      <c r="O37"/>
      <c r="P37"/>
      <c r="Q37" s="9"/>
      <c r="R37" s="83" t="s">
        <v>7</v>
      </c>
      <c r="S37" s="83"/>
      <c r="T37" s="83"/>
    </row>
    <row r="38" spans="11:20" ht="15.75">
      <c r="K38" s="73"/>
      <c r="L38" s="73"/>
      <c r="M38" s="3"/>
      <c r="N38"/>
      <c r="O38"/>
      <c r="P38"/>
      <c r="Q38" s="10"/>
      <c r="R38" s="84" t="s">
        <v>8</v>
      </c>
      <c r="S38" s="84"/>
      <c r="T38" s="84"/>
    </row>
    <row r="39" spans="11:20" ht="15.75">
      <c r="K39" s="73"/>
      <c r="L39" s="73"/>
      <c r="M39" s="5"/>
      <c r="N39"/>
      <c r="O39"/>
      <c r="P39"/>
      <c r="Q39" s="11"/>
      <c r="R39" s="85" t="s">
        <v>9</v>
      </c>
      <c r="S39" s="85"/>
      <c r="T39" s="85"/>
    </row>
    <row r="40" spans="11:20" ht="15" customHeight="1">
      <c r="K40" s="81" t="s">
        <v>10</v>
      </c>
      <c r="L40" s="81"/>
      <c r="M40" s="81"/>
      <c r="N40" s="81"/>
      <c r="O40" s="81"/>
      <c r="P40" s="81"/>
      <c r="Q40" s="81"/>
      <c r="R40" s="81"/>
      <c r="S40" s="81"/>
      <c r="T40" s="17"/>
    </row>
    <row r="41" spans="11:20" ht="15.75">
      <c r="K41" s="68" t="s">
        <v>2</v>
      </c>
      <c r="L41" s="68"/>
      <c r="M41" s="68"/>
      <c r="N41" s="68"/>
      <c r="O41" s="68"/>
      <c r="P41" s="68"/>
      <c r="Q41" s="68"/>
      <c r="R41" s="68"/>
      <c r="S41" s="68"/>
      <c r="T41" s="20" t="s">
        <v>3</v>
      </c>
    </row>
    <row r="42" spans="11:20">
      <c r="K42" s="67" t="s">
        <v>11</v>
      </c>
      <c r="L42" s="67"/>
      <c r="M42" s="67"/>
      <c r="N42" s="67"/>
      <c r="O42" s="67"/>
      <c r="P42" s="67"/>
      <c r="Q42" s="67"/>
      <c r="R42" s="67"/>
      <c r="S42" s="67"/>
      <c r="T42" s="74">
        <v>11.95</v>
      </c>
    </row>
    <row r="43" spans="11:20">
      <c r="K43" s="67"/>
      <c r="L43" s="67"/>
      <c r="M43" s="67"/>
      <c r="N43" s="67"/>
      <c r="O43" s="67"/>
      <c r="P43" s="67"/>
      <c r="Q43" s="67"/>
      <c r="R43" s="67"/>
      <c r="S43" s="67"/>
      <c r="T43" s="74"/>
    </row>
    <row r="44" spans="11:20" ht="8.1" customHeight="1">
      <c r="K44" s="7"/>
      <c r="L44" s="7"/>
      <c r="M44" s="7"/>
      <c r="N44" s="7"/>
      <c r="O44" s="7"/>
      <c r="P44" s="7"/>
      <c r="Q44" s="12"/>
      <c r="R44" s="12"/>
      <c r="S44" s="7"/>
      <c r="T44" s="7"/>
    </row>
    <row r="45" spans="11:20">
      <c r="K45"/>
      <c r="L45"/>
      <c r="M45"/>
      <c r="N45"/>
      <c r="O45"/>
      <c r="P45"/>
      <c r="Q45"/>
      <c r="R45" s="73" t="s">
        <v>7</v>
      </c>
      <c r="S45" s="73"/>
      <c r="T45" s="73"/>
    </row>
    <row r="46" spans="11:20">
      <c r="K46"/>
      <c r="L46"/>
      <c r="M46"/>
      <c r="N46"/>
      <c r="O46"/>
      <c r="P46"/>
      <c r="Q46"/>
      <c r="R46" s="73" t="s">
        <v>8</v>
      </c>
      <c r="S46" s="73"/>
      <c r="T46" s="73"/>
    </row>
    <row r="47" spans="11:20">
      <c r="K47"/>
      <c r="L47"/>
      <c r="M47"/>
      <c r="N47"/>
      <c r="O47"/>
      <c r="P47"/>
      <c r="Q47" s="2"/>
      <c r="R47" s="79" t="s">
        <v>9</v>
      </c>
      <c r="S47" s="79"/>
      <c r="T47" s="79"/>
    </row>
    <row r="48" spans="11:20" ht="18.75">
      <c r="K48" s="18" t="s">
        <v>12</v>
      </c>
      <c r="L48" s="19"/>
      <c r="M48" s="19"/>
      <c r="N48" s="19"/>
      <c r="O48" s="19"/>
      <c r="P48" s="19"/>
      <c r="Q48" s="19"/>
      <c r="R48" s="19"/>
      <c r="S48" s="19"/>
      <c r="T48" s="19"/>
    </row>
    <row r="49" spans="11:20">
      <c r="K49" s="86" t="s">
        <v>2</v>
      </c>
      <c r="L49" s="86"/>
      <c r="M49" s="86"/>
      <c r="N49" s="86"/>
      <c r="O49" s="6" t="s">
        <v>13</v>
      </c>
      <c r="P49" s="6" t="s">
        <v>14</v>
      </c>
      <c r="Q49" s="6" t="s">
        <v>15</v>
      </c>
      <c r="R49" s="6" t="s">
        <v>16</v>
      </c>
    </row>
    <row r="50" spans="11:20">
      <c r="K50" s="76" t="s">
        <v>17</v>
      </c>
      <c r="L50" s="77"/>
      <c r="M50" s="77"/>
      <c r="N50" s="78"/>
      <c r="O50" s="15"/>
      <c r="P50" s="15"/>
      <c r="Q50" s="15"/>
      <c r="R50" s="15"/>
      <c r="S50"/>
      <c r="T50"/>
    </row>
    <row r="51" spans="11:20">
      <c r="K51" s="76" t="s">
        <v>18</v>
      </c>
      <c r="L51" s="77"/>
      <c r="M51" s="77"/>
      <c r="N51" s="78"/>
      <c r="O51" s="15"/>
      <c r="P51" s="15"/>
      <c r="Q51" s="15"/>
      <c r="R51" s="15"/>
      <c r="S51"/>
      <c r="T51"/>
    </row>
    <row r="52" spans="11:20">
      <c r="K52" s="76" t="s">
        <v>19</v>
      </c>
      <c r="L52" s="77"/>
      <c r="M52" s="77"/>
      <c r="N52" s="78"/>
      <c r="O52" s="15"/>
      <c r="P52" s="15"/>
      <c r="Q52" s="15"/>
      <c r="R52" s="15"/>
      <c r="S52"/>
      <c r="T52"/>
    </row>
    <row r="53" spans="11:20">
      <c r="K53" s="76" t="s">
        <v>20</v>
      </c>
      <c r="L53" s="77"/>
      <c r="M53" s="77"/>
      <c r="N53" s="78"/>
      <c r="O53" s="15"/>
      <c r="P53" s="15"/>
      <c r="Q53" s="15"/>
      <c r="R53" s="15"/>
      <c r="S53"/>
      <c r="T53"/>
    </row>
    <row r="54" spans="11:20">
      <c r="K54" s="76" t="s">
        <v>21</v>
      </c>
      <c r="L54" s="77"/>
      <c r="M54" s="77"/>
      <c r="N54" s="78"/>
      <c r="O54" s="15"/>
      <c r="P54" s="15"/>
      <c r="Q54" s="15"/>
      <c r="R54" s="15"/>
      <c r="S54"/>
      <c r="T54"/>
    </row>
    <row r="55" spans="11:20">
      <c r="K55" s="76" t="s">
        <v>22</v>
      </c>
      <c r="L55" s="77"/>
      <c r="M55" s="77"/>
      <c r="N55" s="78"/>
      <c r="O55" s="15"/>
      <c r="P55" s="15"/>
      <c r="Q55" s="15"/>
      <c r="R55" s="15"/>
      <c r="S55"/>
      <c r="T55"/>
    </row>
    <row r="56" spans="11:20">
      <c r="K56"/>
      <c r="L56"/>
      <c r="M56"/>
      <c r="N56"/>
      <c r="O56" s="75" t="s">
        <v>8</v>
      </c>
      <c r="P56" s="75"/>
      <c r="Q56" s="75"/>
      <c r="R56" s="75"/>
      <c r="S56" s="5"/>
      <c r="T56" s="5"/>
    </row>
    <row r="57" spans="11:20" ht="18.75" customHeight="1">
      <c r="K57"/>
      <c r="L57"/>
      <c r="M57"/>
      <c r="N57"/>
      <c r="O57" s="79" t="s">
        <v>9</v>
      </c>
      <c r="P57" s="79"/>
      <c r="Q57" s="79"/>
      <c r="R57" s="79"/>
      <c r="S57" s="5"/>
      <c r="T57" s="5"/>
    </row>
    <row r="59" spans="11:20" ht="18.75">
      <c r="Q59" s="14" t="s">
        <v>23</v>
      </c>
      <c r="S59" s="13"/>
    </row>
    <row r="60" spans="11:20" ht="18.75">
      <c r="Q60" s="14" t="s">
        <v>24</v>
      </c>
      <c r="S60" s="13"/>
    </row>
  </sheetData>
  <mergeCells count="51">
    <mergeCell ref="O57:R57"/>
    <mergeCell ref="K8:S8"/>
    <mergeCell ref="K40:S40"/>
    <mergeCell ref="K6:T7"/>
    <mergeCell ref="K54:N54"/>
    <mergeCell ref="K55:N55"/>
    <mergeCell ref="R37:T37"/>
    <mergeCell ref="R38:T38"/>
    <mergeCell ref="R39:T39"/>
    <mergeCell ref="R45:T45"/>
    <mergeCell ref="R46:T46"/>
    <mergeCell ref="R47:T47"/>
    <mergeCell ref="K49:N49"/>
    <mergeCell ref="K50:N50"/>
    <mergeCell ref="K51:N51"/>
    <mergeCell ref="K53:N53"/>
    <mergeCell ref="K42:S43"/>
    <mergeCell ref="K41:S41"/>
    <mergeCell ref="T42:T43"/>
    <mergeCell ref="O56:R56"/>
    <mergeCell ref="T22:T23"/>
    <mergeCell ref="K34:S35"/>
    <mergeCell ref="T34:T35"/>
    <mergeCell ref="K22:S23"/>
    <mergeCell ref="K52:N52"/>
    <mergeCell ref="K38:L38"/>
    <mergeCell ref="K39:L39"/>
    <mergeCell ref="T32:T33"/>
    <mergeCell ref="T30:T31"/>
    <mergeCell ref="K24:S25"/>
    <mergeCell ref="K26:S27"/>
    <mergeCell ref="K28:S29"/>
    <mergeCell ref="K30:S31"/>
    <mergeCell ref="K32:S33"/>
    <mergeCell ref="K37:L37"/>
    <mergeCell ref="T28:T29"/>
    <mergeCell ref="T26:T27"/>
    <mergeCell ref="T24:T25"/>
    <mergeCell ref="K20:S21"/>
    <mergeCell ref="T20:T21"/>
    <mergeCell ref="T18:T19"/>
    <mergeCell ref="T16:T17"/>
    <mergeCell ref="T14:T15"/>
    <mergeCell ref="K18:S19"/>
    <mergeCell ref="K12:S13"/>
    <mergeCell ref="K9:S9"/>
    <mergeCell ref="T12:T13"/>
    <mergeCell ref="K14:S15"/>
    <mergeCell ref="K16:S17"/>
    <mergeCell ref="K10:S11"/>
    <mergeCell ref="T10:T11"/>
  </mergeCells>
  <printOptions horizontalCentered="1"/>
  <pageMargins left="0.19685039370078741" right="0.19685039370078741" top="0.39370078740157483" bottom="0" header="0.31496062992125984" footer="0"/>
  <pageSetup paperSize="9" orientation="portrait" r:id="rId1"/>
  <headerFooter>
    <oddHeader>&amp;C&amp;12GRUPO SPACE INFORMÁTICA - AVALIAÇÃO MENSAL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>
    <tabColor theme="1" tint="0.499984740745262"/>
  </sheetPr>
  <dimension ref="B4:F161"/>
  <sheetViews>
    <sheetView showGridLines="0" topLeftCell="A40" workbookViewId="0">
      <selection activeCell="B6" sqref="B6"/>
    </sheetView>
  </sheetViews>
  <sheetFormatPr defaultRowHeight="15"/>
  <cols>
    <col min="2" max="2" width="21.5703125" bestFit="1" customWidth="1"/>
    <col min="3" max="4" width="80.85546875" bestFit="1" customWidth="1"/>
    <col min="5" max="5" width="12" style="3" bestFit="1" customWidth="1"/>
    <col min="6" max="6" width="80.85546875" style="3" bestFit="1" customWidth="1"/>
    <col min="7" max="7" width="33.85546875" customWidth="1"/>
    <col min="8" max="8" width="18.5703125" bestFit="1" customWidth="1"/>
  </cols>
  <sheetData>
    <row r="4" spans="2:6" ht="23.25">
      <c r="B4" s="87" t="s">
        <v>25</v>
      </c>
      <c r="C4" s="87"/>
      <c r="D4" s="87"/>
      <c r="E4" s="87"/>
      <c r="F4" s="60"/>
    </row>
    <row r="5" spans="2:6">
      <c r="B5" s="61" t="s">
        <v>26</v>
      </c>
      <c r="C5" s="61" t="s">
        <v>27</v>
      </c>
      <c r="D5" s="61" t="s">
        <v>28</v>
      </c>
      <c r="E5" t="s">
        <v>29</v>
      </c>
      <c r="F5" t="s">
        <v>30</v>
      </c>
    </row>
    <row r="6" spans="2:6">
      <c r="B6" s="64" t="s">
        <v>31</v>
      </c>
      <c r="C6" t="s">
        <v>32</v>
      </c>
      <c r="D6" t="s">
        <v>33</v>
      </c>
      <c r="E6">
        <v>1</v>
      </c>
      <c r="F6" t="s">
        <v>34</v>
      </c>
    </row>
    <row r="7" spans="2:6">
      <c r="B7" s="64" t="s">
        <v>35</v>
      </c>
      <c r="C7" t="s">
        <v>32</v>
      </c>
      <c r="D7" t="s">
        <v>33</v>
      </c>
      <c r="E7">
        <v>1</v>
      </c>
      <c r="F7" t="s">
        <v>34</v>
      </c>
    </row>
    <row r="8" spans="2:6">
      <c r="B8" s="64" t="s">
        <v>36</v>
      </c>
      <c r="C8" t="s">
        <v>32</v>
      </c>
      <c r="D8" t="s">
        <v>33</v>
      </c>
      <c r="E8">
        <v>0.95454545454545459</v>
      </c>
      <c r="F8" t="s">
        <v>34</v>
      </c>
    </row>
    <row r="9" spans="2:6">
      <c r="B9" s="64" t="s">
        <v>37</v>
      </c>
      <c r="C9" t="s">
        <v>32</v>
      </c>
      <c r="D9" t="s">
        <v>33</v>
      </c>
      <c r="E9">
        <v>0.95454545454545459</v>
      </c>
      <c r="F9" t="s">
        <v>34</v>
      </c>
    </row>
    <row r="10" spans="2:6">
      <c r="B10" s="64" t="s">
        <v>38</v>
      </c>
      <c r="C10" t="s">
        <v>32</v>
      </c>
      <c r="D10" t="s">
        <v>33</v>
      </c>
      <c r="E10">
        <v>0.81818181818181812</v>
      </c>
      <c r="F10" t="s">
        <v>34</v>
      </c>
    </row>
    <row r="11" spans="2:6">
      <c r="B11" s="64" t="s">
        <v>39</v>
      </c>
      <c r="C11" t="s">
        <v>32</v>
      </c>
      <c r="D11" t="s">
        <v>33</v>
      </c>
      <c r="E11">
        <v>0.68181818181818188</v>
      </c>
      <c r="F11" t="s">
        <v>34</v>
      </c>
    </row>
    <row r="12" spans="2:6">
      <c r="B12" s="64" t="s">
        <v>40</v>
      </c>
      <c r="C12" t="s">
        <v>32</v>
      </c>
      <c r="D12" t="s">
        <v>33</v>
      </c>
      <c r="E12">
        <v>1</v>
      </c>
      <c r="F12" t="s">
        <v>34</v>
      </c>
    </row>
    <row r="13" spans="2:6">
      <c r="B13" s="64" t="s">
        <v>41</v>
      </c>
      <c r="C13" t="s">
        <v>32</v>
      </c>
      <c r="D13" t="s">
        <v>33</v>
      </c>
      <c r="E13">
        <v>1</v>
      </c>
      <c r="F13" t="s">
        <v>34</v>
      </c>
    </row>
    <row r="14" spans="2:6">
      <c r="B14" s="64" t="s">
        <v>42</v>
      </c>
      <c r="C14" t="s">
        <v>32</v>
      </c>
      <c r="D14" t="s">
        <v>33</v>
      </c>
      <c r="E14">
        <v>1</v>
      </c>
      <c r="F14" t="s">
        <v>34</v>
      </c>
    </row>
    <row r="15" spans="2:6">
      <c r="B15" s="64" t="s">
        <v>43</v>
      </c>
      <c r="C15" t="s">
        <v>32</v>
      </c>
      <c r="D15" t="s">
        <v>33</v>
      </c>
      <c r="E15">
        <v>1</v>
      </c>
      <c r="F15" t="s">
        <v>34</v>
      </c>
    </row>
    <row r="16" spans="2:6">
      <c r="B16" s="64" t="s">
        <v>44</v>
      </c>
      <c r="C16" t="s">
        <v>32</v>
      </c>
      <c r="D16" t="s">
        <v>33</v>
      </c>
      <c r="E16">
        <v>0.90909090909090906</v>
      </c>
      <c r="F16" t="s">
        <v>34</v>
      </c>
    </row>
    <row r="17" spans="2:6">
      <c r="B17" s="64" t="s">
        <v>45</v>
      </c>
      <c r="C17" t="s">
        <v>32</v>
      </c>
      <c r="D17" t="s">
        <v>33</v>
      </c>
      <c r="E17">
        <v>0.86363636363636365</v>
      </c>
      <c r="F17" t="s">
        <v>34</v>
      </c>
    </row>
    <row r="18" spans="2:6">
      <c r="B18" s="64" t="s">
        <v>31</v>
      </c>
      <c r="C18" t="s">
        <v>46</v>
      </c>
      <c r="D18" t="s">
        <v>47</v>
      </c>
      <c r="E18">
        <v>0.90909090909090906</v>
      </c>
      <c r="F18" t="s">
        <v>48</v>
      </c>
    </row>
    <row r="19" spans="2:6">
      <c r="B19" s="64" t="s">
        <v>35</v>
      </c>
      <c r="C19" t="s">
        <v>46</v>
      </c>
      <c r="D19" t="s">
        <v>47</v>
      </c>
      <c r="E19">
        <v>1</v>
      </c>
      <c r="F19" t="s">
        <v>48</v>
      </c>
    </row>
    <row r="20" spans="2:6">
      <c r="B20" s="64" t="s">
        <v>36</v>
      </c>
      <c r="C20" t="s">
        <v>46</v>
      </c>
      <c r="D20" t="s">
        <v>47</v>
      </c>
      <c r="E20">
        <v>0.95454545454545459</v>
      </c>
      <c r="F20" t="s">
        <v>48</v>
      </c>
    </row>
    <row r="21" spans="2:6">
      <c r="B21" s="64" t="s">
        <v>37</v>
      </c>
      <c r="C21" t="s">
        <v>46</v>
      </c>
      <c r="D21" t="s">
        <v>47</v>
      </c>
      <c r="E21">
        <v>1</v>
      </c>
      <c r="F21" t="s">
        <v>48</v>
      </c>
    </row>
    <row r="22" spans="2:6">
      <c r="B22" s="64" t="s">
        <v>38</v>
      </c>
      <c r="C22" t="s">
        <v>46</v>
      </c>
      <c r="D22" t="s">
        <v>47</v>
      </c>
      <c r="E22">
        <v>0.90909090909090906</v>
      </c>
      <c r="F22" t="s">
        <v>48</v>
      </c>
    </row>
    <row r="23" spans="2:6">
      <c r="B23" s="64" t="s">
        <v>39</v>
      </c>
      <c r="C23" t="s">
        <v>46</v>
      </c>
      <c r="D23" t="s">
        <v>47</v>
      </c>
      <c r="E23">
        <v>0.95454545454545459</v>
      </c>
      <c r="F23" t="s">
        <v>48</v>
      </c>
    </row>
    <row r="24" spans="2:6">
      <c r="B24" s="64" t="s">
        <v>40</v>
      </c>
      <c r="C24" t="s">
        <v>46</v>
      </c>
      <c r="D24" t="s">
        <v>47</v>
      </c>
      <c r="E24">
        <v>0.90909090909090906</v>
      </c>
      <c r="F24" t="s">
        <v>48</v>
      </c>
    </row>
    <row r="25" spans="2:6">
      <c r="B25" s="64" t="s">
        <v>41</v>
      </c>
      <c r="C25" t="s">
        <v>46</v>
      </c>
      <c r="D25" t="s">
        <v>47</v>
      </c>
      <c r="E25">
        <v>0.90909090909090906</v>
      </c>
      <c r="F25" t="s">
        <v>48</v>
      </c>
    </row>
    <row r="26" spans="2:6">
      <c r="B26" s="64" t="s">
        <v>42</v>
      </c>
      <c r="C26" t="s">
        <v>46</v>
      </c>
      <c r="D26" t="s">
        <v>47</v>
      </c>
      <c r="E26">
        <v>0.95454545454545459</v>
      </c>
      <c r="F26" t="s">
        <v>48</v>
      </c>
    </row>
    <row r="27" spans="2:6">
      <c r="B27" s="64" t="s">
        <v>43</v>
      </c>
      <c r="C27" t="s">
        <v>46</v>
      </c>
      <c r="D27" t="s">
        <v>47</v>
      </c>
      <c r="E27">
        <v>1</v>
      </c>
      <c r="F27" t="s">
        <v>48</v>
      </c>
    </row>
    <row r="28" spans="2:6">
      <c r="B28" s="64" t="s">
        <v>44</v>
      </c>
      <c r="C28" t="s">
        <v>46</v>
      </c>
      <c r="D28" t="s">
        <v>47</v>
      </c>
      <c r="E28">
        <v>0.95454545454545459</v>
      </c>
      <c r="F28" t="s">
        <v>48</v>
      </c>
    </row>
    <row r="29" spans="2:6">
      <c r="B29" s="64" t="s">
        <v>45</v>
      </c>
      <c r="C29" t="s">
        <v>46</v>
      </c>
      <c r="D29" t="s">
        <v>47</v>
      </c>
      <c r="E29">
        <v>0.90909090909090906</v>
      </c>
      <c r="F29" t="s">
        <v>48</v>
      </c>
    </row>
    <row r="30" spans="2:6">
      <c r="B30" s="64" t="s">
        <v>31</v>
      </c>
      <c r="C30" t="s">
        <v>49</v>
      </c>
      <c r="D30" t="s">
        <v>50</v>
      </c>
      <c r="E30">
        <v>0.90909090909090906</v>
      </c>
      <c r="F30" t="s">
        <v>51</v>
      </c>
    </row>
    <row r="31" spans="2:6">
      <c r="B31" s="64" t="s">
        <v>35</v>
      </c>
      <c r="C31" t="s">
        <v>49</v>
      </c>
      <c r="D31" t="s">
        <v>50</v>
      </c>
      <c r="E31">
        <v>1</v>
      </c>
      <c r="F31" t="s">
        <v>51</v>
      </c>
    </row>
    <row r="32" spans="2:6">
      <c r="B32" s="64" t="s">
        <v>36</v>
      </c>
      <c r="C32" t="s">
        <v>49</v>
      </c>
      <c r="D32" t="s">
        <v>50</v>
      </c>
      <c r="E32">
        <v>0.90909090909090906</v>
      </c>
      <c r="F32" t="s">
        <v>51</v>
      </c>
    </row>
    <row r="33" spans="2:6">
      <c r="B33" s="64" t="s">
        <v>37</v>
      </c>
      <c r="C33" t="s">
        <v>49</v>
      </c>
      <c r="D33" t="s">
        <v>50</v>
      </c>
      <c r="E33">
        <v>1</v>
      </c>
      <c r="F33" t="s">
        <v>51</v>
      </c>
    </row>
    <row r="34" spans="2:6">
      <c r="B34" s="64" t="s">
        <v>38</v>
      </c>
      <c r="C34" t="s">
        <v>49</v>
      </c>
      <c r="D34" t="s">
        <v>50</v>
      </c>
      <c r="E34">
        <v>1</v>
      </c>
      <c r="F34" t="s">
        <v>51</v>
      </c>
    </row>
    <row r="35" spans="2:6">
      <c r="B35" s="64" t="s">
        <v>39</v>
      </c>
      <c r="C35" t="s">
        <v>49</v>
      </c>
      <c r="D35" t="s">
        <v>50</v>
      </c>
      <c r="E35">
        <v>1</v>
      </c>
      <c r="F35" t="s">
        <v>51</v>
      </c>
    </row>
    <row r="36" spans="2:6">
      <c r="B36" s="64" t="s">
        <v>40</v>
      </c>
      <c r="C36" t="s">
        <v>49</v>
      </c>
      <c r="D36" t="s">
        <v>50</v>
      </c>
      <c r="E36">
        <v>0.90909090909090906</v>
      </c>
      <c r="F36" t="s">
        <v>51</v>
      </c>
    </row>
    <row r="37" spans="2:6">
      <c r="B37" s="64" t="s">
        <v>41</v>
      </c>
      <c r="C37" t="s">
        <v>49</v>
      </c>
      <c r="D37" t="s">
        <v>50</v>
      </c>
      <c r="E37">
        <v>1</v>
      </c>
      <c r="F37" t="s">
        <v>51</v>
      </c>
    </row>
    <row r="38" spans="2:6">
      <c r="B38" s="64" t="s">
        <v>42</v>
      </c>
      <c r="C38" t="s">
        <v>49</v>
      </c>
      <c r="D38" t="s">
        <v>50</v>
      </c>
      <c r="E38">
        <v>0.90909090909090906</v>
      </c>
      <c r="F38" t="s">
        <v>51</v>
      </c>
    </row>
    <row r="39" spans="2:6">
      <c r="B39" s="64" t="s">
        <v>43</v>
      </c>
      <c r="C39" t="s">
        <v>49</v>
      </c>
      <c r="D39" t="s">
        <v>50</v>
      </c>
      <c r="E39">
        <v>1</v>
      </c>
      <c r="F39" t="s">
        <v>51</v>
      </c>
    </row>
    <row r="40" spans="2:6">
      <c r="B40" s="64" t="s">
        <v>44</v>
      </c>
      <c r="C40" t="s">
        <v>49</v>
      </c>
      <c r="D40" t="s">
        <v>50</v>
      </c>
      <c r="E40">
        <v>0.95454545454545459</v>
      </c>
      <c r="F40" t="s">
        <v>51</v>
      </c>
    </row>
    <row r="41" spans="2:6">
      <c r="B41" s="64" t="s">
        <v>45</v>
      </c>
      <c r="C41" t="s">
        <v>49</v>
      </c>
      <c r="D41" t="s">
        <v>50</v>
      </c>
      <c r="E41">
        <v>0.90909090909090906</v>
      </c>
      <c r="F41" t="s">
        <v>51</v>
      </c>
    </row>
    <row r="42" spans="2:6">
      <c r="B42" s="64" t="s">
        <v>31</v>
      </c>
      <c r="C42" t="s">
        <v>53</v>
      </c>
      <c r="D42" t="s">
        <v>54</v>
      </c>
      <c r="E42">
        <v>1</v>
      </c>
      <c r="F42" t="s">
        <v>55</v>
      </c>
    </row>
    <row r="43" spans="2:6">
      <c r="B43" s="64" t="s">
        <v>35</v>
      </c>
      <c r="C43" t="s">
        <v>53</v>
      </c>
      <c r="D43" t="s">
        <v>54</v>
      </c>
      <c r="E43">
        <v>0.95454545454545459</v>
      </c>
      <c r="F43" t="s">
        <v>55</v>
      </c>
    </row>
    <row r="44" spans="2:6">
      <c r="B44" s="64" t="s">
        <v>36</v>
      </c>
      <c r="C44" t="s">
        <v>53</v>
      </c>
      <c r="D44" t="s">
        <v>54</v>
      </c>
      <c r="E44">
        <v>1</v>
      </c>
      <c r="F44" t="s">
        <v>55</v>
      </c>
    </row>
    <row r="45" spans="2:6">
      <c r="B45" s="64" t="s">
        <v>37</v>
      </c>
      <c r="C45" t="s">
        <v>53</v>
      </c>
      <c r="D45" t="s">
        <v>54</v>
      </c>
      <c r="E45">
        <v>1</v>
      </c>
      <c r="F45" t="s">
        <v>55</v>
      </c>
    </row>
    <row r="46" spans="2:6">
      <c r="B46" s="64" t="s">
        <v>38</v>
      </c>
      <c r="C46" t="s">
        <v>53</v>
      </c>
      <c r="D46" t="s">
        <v>54</v>
      </c>
      <c r="E46">
        <v>0.90909090909090906</v>
      </c>
      <c r="F46" t="s">
        <v>55</v>
      </c>
    </row>
    <row r="47" spans="2:6">
      <c r="B47" s="64" t="s">
        <v>39</v>
      </c>
      <c r="C47" t="s">
        <v>53</v>
      </c>
      <c r="D47" t="s">
        <v>54</v>
      </c>
      <c r="E47">
        <v>0.95454545454545459</v>
      </c>
      <c r="F47" t="s">
        <v>55</v>
      </c>
    </row>
    <row r="48" spans="2:6">
      <c r="B48" s="64" t="s">
        <v>40</v>
      </c>
      <c r="C48" t="s">
        <v>53</v>
      </c>
      <c r="D48" t="s">
        <v>54</v>
      </c>
      <c r="E48">
        <v>0.95454545454545459</v>
      </c>
      <c r="F48" t="s">
        <v>55</v>
      </c>
    </row>
    <row r="49" spans="2:6">
      <c r="B49" s="64" t="s">
        <v>41</v>
      </c>
      <c r="C49" t="s">
        <v>53</v>
      </c>
      <c r="D49" t="s">
        <v>54</v>
      </c>
      <c r="E49">
        <v>1</v>
      </c>
      <c r="F49" t="s">
        <v>55</v>
      </c>
    </row>
    <row r="50" spans="2:6">
      <c r="B50" s="64" t="s">
        <v>42</v>
      </c>
      <c r="C50" t="s">
        <v>53</v>
      </c>
      <c r="D50" t="s">
        <v>54</v>
      </c>
      <c r="E50">
        <v>0.95454545454545459</v>
      </c>
      <c r="F50" t="s">
        <v>55</v>
      </c>
    </row>
    <row r="51" spans="2:6">
      <c r="B51" s="64" t="s">
        <v>43</v>
      </c>
      <c r="C51" t="s">
        <v>53</v>
      </c>
      <c r="D51" t="s">
        <v>54</v>
      </c>
      <c r="E51">
        <v>0.95454545454545459</v>
      </c>
      <c r="F51" t="s">
        <v>55</v>
      </c>
    </row>
    <row r="52" spans="2:6">
      <c r="B52" s="64" t="s">
        <v>44</v>
      </c>
      <c r="C52" t="s">
        <v>53</v>
      </c>
      <c r="D52" t="s">
        <v>54</v>
      </c>
      <c r="E52">
        <v>0.95454545454545459</v>
      </c>
      <c r="F52" t="s">
        <v>55</v>
      </c>
    </row>
    <row r="53" spans="2:6">
      <c r="B53" s="64" t="s">
        <v>45</v>
      </c>
      <c r="C53" t="s">
        <v>53</v>
      </c>
      <c r="D53" t="s">
        <v>54</v>
      </c>
      <c r="E53">
        <v>1</v>
      </c>
      <c r="F53" t="s">
        <v>55</v>
      </c>
    </row>
    <row r="54" spans="2:6">
      <c r="B54" s="64" t="s">
        <v>31</v>
      </c>
      <c r="C54" t="s">
        <v>56</v>
      </c>
      <c r="D54" t="s">
        <v>57</v>
      </c>
      <c r="E54">
        <v>0.68181818181818188</v>
      </c>
      <c r="F54" t="s">
        <v>58</v>
      </c>
    </row>
    <row r="55" spans="2:6">
      <c r="B55" s="64" t="s">
        <v>35</v>
      </c>
      <c r="C55" t="s">
        <v>56</v>
      </c>
      <c r="D55" t="s">
        <v>57</v>
      </c>
      <c r="E55">
        <v>0.86363636363636365</v>
      </c>
      <c r="F55" t="s">
        <v>58</v>
      </c>
    </row>
    <row r="56" spans="2:6">
      <c r="B56" s="64" t="s">
        <v>36</v>
      </c>
      <c r="C56" t="s">
        <v>56</v>
      </c>
      <c r="D56" t="s">
        <v>57</v>
      </c>
      <c r="E56">
        <v>0.77272727272727271</v>
      </c>
      <c r="F56" t="s">
        <v>58</v>
      </c>
    </row>
    <row r="57" spans="2:6">
      <c r="B57" s="64" t="s">
        <v>37</v>
      </c>
      <c r="C57" t="s">
        <v>56</v>
      </c>
      <c r="D57" t="s">
        <v>57</v>
      </c>
      <c r="E57">
        <v>0.77272727272727271</v>
      </c>
      <c r="F57" t="s">
        <v>58</v>
      </c>
    </row>
    <row r="58" spans="2:6">
      <c r="B58" s="64" t="s">
        <v>38</v>
      </c>
      <c r="C58" t="s">
        <v>56</v>
      </c>
      <c r="D58" t="s">
        <v>57</v>
      </c>
      <c r="E58">
        <v>0.81818181818181812</v>
      </c>
      <c r="F58" t="s">
        <v>58</v>
      </c>
    </row>
    <row r="59" spans="2:6">
      <c r="B59" s="64" t="s">
        <v>39</v>
      </c>
      <c r="C59" t="s">
        <v>56</v>
      </c>
      <c r="D59" t="s">
        <v>57</v>
      </c>
      <c r="E59">
        <v>0.81818181818181812</v>
      </c>
      <c r="F59" t="s">
        <v>58</v>
      </c>
    </row>
    <row r="60" spans="2:6">
      <c r="B60" s="64" t="s">
        <v>40</v>
      </c>
      <c r="C60" t="s">
        <v>56</v>
      </c>
      <c r="D60" t="s">
        <v>57</v>
      </c>
      <c r="E60">
        <v>0.77272727272727271</v>
      </c>
      <c r="F60" t="s">
        <v>58</v>
      </c>
    </row>
    <row r="61" spans="2:6">
      <c r="B61" s="64" t="s">
        <v>41</v>
      </c>
      <c r="C61" t="s">
        <v>56</v>
      </c>
      <c r="D61" t="s">
        <v>57</v>
      </c>
      <c r="E61">
        <v>0.81818181818181812</v>
      </c>
      <c r="F61" t="s">
        <v>58</v>
      </c>
    </row>
    <row r="62" spans="2:6">
      <c r="B62" s="64" t="s">
        <v>42</v>
      </c>
      <c r="C62" t="s">
        <v>56</v>
      </c>
      <c r="D62" t="s">
        <v>57</v>
      </c>
      <c r="E62">
        <v>0.81818181818181812</v>
      </c>
      <c r="F62" t="s">
        <v>58</v>
      </c>
    </row>
    <row r="63" spans="2:6">
      <c r="B63" s="64" t="s">
        <v>43</v>
      </c>
      <c r="C63" t="s">
        <v>56</v>
      </c>
      <c r="D63" t="s">
        <v>57</v>
      </c>
      <c r="E63">
        <v>0.86363636363636365</v>
      </c>
      <c r="F63" t="s">
        <v>58</v>
      </c>
    </row>
    <row r="64" spans="2:6">
      <c r="B64" s="64" t="s">
        <v>44</v>
      </c>
      <c r="C64" t="s">
        <v>56</v>
      </c>
      <c r="D64" t="s">
        <v>57</v>
      </c>
      <c r="E64">
        <v>0.86363636363636365</v>
      </c>
      <c r="F64" t="s">
        <v>58</v>
      </c>
    </row>
    <row r="65" spans="2:6">
      <c r="B65" s="64" t="s">
        <v>45</v>
      </c>
      <c r="C65" t="s">
        <v>56</v>
      </c>
      <c r="D65" t="s">
        <v>57</v>
      </c>
      <c r="E65">
        <v>0.72727272727272729</v>
      </c>
      <c r="F65" t="s">
        <v>58</v>
      </c>
    </row>
    <row r="66" spans="2:6">
      <c r="B66" s="64" t="s">
        <v>31</v>
      </c>
      <c r="C66" t="s">
        <v>59</v>
      </c>
      <c r="D66" t="s">
        <v>60</v>
      </c>
      <c r="E66">
        <v>1</v>
      </c>
      <c r="F66" t="s">
        <v>60</v>
      </c>
    </row>
    <row r="67" spans="2:6">
      <c r="B67" s="64" t="s">
        <v>35</v>
      </c>
      <c r="C67" t="s">
        <v>59</v>
      </c>
      <c r="D67" t="s">
        <v>60</v>
      </c>
      <c r="E67">
        <v>1</v>
      </c>
      <c r="F67" t="s">
        <v>60</v>
      </c>
    </row>
    <row r="68" spans="2:6">
      <c r="B68" s="64" t="s">
        <v>36</v>
      </c>
      <c r="C68" t="s">
        <v>59</v>
      </c>
      <c r="D68" t="s">
        <v>60</v>
      </c>
      <c r="E68">
        <v>1</v>
      </c>
      <c r="F68" t="s">
        <v>60</v>
      </c>
    </row>
    <row r="69" spans="2:6">
      <c r="B69" s="64" t="s">
        <v>37</v>
      </c>
      <c r="C69" t="s">
        <v>59</v>
      </c>
      <c r="D69" t="s">
        <v>60</v>
      </c>
      <c r="E69">
        <v>1</v>
      </c>
      <c r="F69" t="s">
        <v>60</v>
      </c>
    </row>
    <row r="70" spans="2:6">
      <c r="B70" s="64" t="s">
        <v>38</v>
      </c>
      <c r="C70" t="s">
        <v>59</v>
      </c>
      <c r="D70" t="s">
        <v>60</v>
      </c>
      <c r="E70">
        <v>0.95454545454545459</v>
      </c>
      <c r="F70" t="s">
        <v>60</v>
      </c>
    </row>
    <row r="71" spans="2:6">
      <c r="B71" s="64" t="s">
        <v>39</v>
      </c>
      <c r="C71" t="s">
        <v>59</v>
      </c>
      <c r="D71" t="s">
        <v>60</v>
      </c>
      <c r="E71">
        <v>1</v>
      </c>
      <c r="F71" t="s">
        <v>60</v>
      </c>
    </row>
    <row r="72" spans="2:6">
      <c r="B72" s="64" t="s">
        <v>40</v>
      </c>
      <c r="C72" t="s">
        <v>59</v>
      </c>
      <c r="D72" t="s">
        <v>60</v>
      </c>
      <c r="E72">
        <v>1</v>
      </c>
      <c r="F72" t="s">
        <v>60</v>
      </c>
    </row>
    <row r="73" spans="2:6">
      <c r="B73" s="64" t="s">
        <v>41</v>
      </c>
      <c r="C73" t="s">
        <v>59</v>
      </c>
      <c r="D73" t="s">
        <v>60</v>
      </c>
      <c r="E73">
        <v>1</v>
      </c>
      <c r="F73" t="s">
        <v>60</v>
      </c>
    </row>
    <row r="74" spans="2:6">
      <c r="B74" s="64" t="s">
        <v>42</v>
      </c>
      <c r="C74" t="s">
        <v>59</v>
      </c>
      <c r="D74" t="s">
        <v>60</v>
      </c>
      <c r="E74">
        <v>1</v>
      </c>
      <c r="F74" t="s">
        <v>60</v>
      </c>
    </row>
    <row r="75" spans="2:6">
      <c r="B75" s="64" t="s">
        <v>43</v>
      </c>
      <c r="C75" t="s">
        <v>59</v>
      </c>
      <c r="D75" t="s">
        <v>60</v>
      </c>
      <c r="E75">
        <v>1</v>
      </c>
      <c r="F75" t="s">
        <v>60</v>
      </c>
    </row>
    <row r="76" spans="2:6">
      <c r="B76" s="64" t="s">
        <v>44</v>
      </c>
      <c r="C76" t="s">
        <v>59</v>
      </c>
      <c r="D76" t="s">
        <v>60</v>
      </c>
      <c r="E76">
        <v>1</v>
      </c>
      <c r="F76" t="s">
        <v>60</v>
      </c>
    </row>
    <row r="77" spans="2:6">
      <c r="B77" s="64" t="s">
        <v>45</v>
      </c>
      <c r="C77" t="s">
        <v>59</v>
      </c>
      <c r="D77" t="s">
        <v>60</v>
      </c>
      <c r="E77">
        <v>1</v>
      </c>
      <c r="F77" t="s">
        <v>60</v>
      </c>
    </row>
    <row r="78" spans="2:6">
      <c r="B78" s="64" t="s">
        <v>31</v>
      </c>
      <c r="C78" t="s">
        <v>61</v>
      </c>
      <c r="D78" t="s">
        <v>62</v>
      </c>
      <c r="E78">
        <v>1</v>
      </c>
      <c r="F78" t="s">
        <v>63</v>
      </c>
    </row>
    <row r="79" spans="2:6">
      <c r="B79" s="64" t="s">
        <v>35</v>
      </c>
      <c r="C79" t="s">
        <v>61</v>
      </c>
      <c r="D79" t="s">
        <v>62</v>
      </c>
      <c r="E79">
        <v>1</v>
      </c>
      <c r="F79" t="s">
        <v>63</v>
      </c>
    </row>
    <row r="80" spans="2:6">
      <c r="B80" s="64" t="s">
        <v>36</v>
      </c>
      <c r="C80" t="s">
        <v>61</v>
      </c>
      <c r="D80" t="s">
        <v>62</v>
      </c>
      <c r="E80">
        <v>0.95454545454545459</v>
      </c>
      <c r="F80" t="s">
        <v>63</v>
      </c>
    </row>
    <row r="81" spans="2:6">
      <c r="B81" s="64" t="s">
        <v>37</v>
      </c>
      <c r="C81" t="s">
        <v>61</v>
      </c>
      <c r="D81" t="s">
        <v>62</v>
      </c>
      <c r="E81">
        <v>1</v>
      </c>
      <c r="F81" t="s">
        <v>63</v>
      </c>
    </row>
    <row r="82" spans="2:6">
      <c r="B82" s="64" t="s">
        <v>38</v>
      </c>
      <c r="C82" t="s">
        <v>61</v>
      </c>
      <c r="D82" t="s">
        <v>62</v>
      </c>
      <c r="E82">
        <v>1</v>
      </c>
      <c r="F82" t="s">
        <v>63</v>
      </c>
    </row>
    <row r="83" spans="2:6">
      <c r="B83" s="64" t="s">
        <v>39</v>
      </c>
      <c r="C83" t="s">
        <v>61</v>
      </c>
      <c r="D83" t="s">
        <v>62</v>
      </c>
      <c r="E83">
        <v>1</v>
      </c>
      <c r="F83" t="s">
        <v>63</v>
      </c>
    </row>
    <row r="84" spans="2:6">
      <c r="B84" s="64" t="s">
        <v>40</v>
      </c>
      <c r="C84" t="s">
        <v>61</v>
      </c>
      <c r="D84" t="s">
        <v>62</v>
      </c>
      <c r="E84">
        <v>0.95454545454545459</v>
      </c>
      <c r="F84" t="s">
        <v>63</v>
      </c>
    </row>
    <row r="85" spans="2:6">
      <c r="B85" s="64" t="s">
        <v>41</v>
      </c>
      <c r="C85" t="s">
        <v>61</v>
      </c>
      <c r="D85" t="s">
        <v>62</v>
      </c>
      <c r="E85">
        <v>1</v>
      </c>
      <c r="F85" t="s">
        <v>63</v>
      </c>
    </row>
    <row r="86" spans="2:6">
      <c r="B86" s="64" t="s">
        <v>42</v>
      </c>
      <c r="C86" t="s">
        <v>61</v>
      </c>
      <c r="D86" t="s">
        <v>62</v>
      </c>
      <c r="E86">
        <v>1</v>
      </c>
      <c r="F86" t="s">
        <v>63</v>
      </c>
    </row>
    <row r="87" spans="2:6">
      <c r="B87" s="64" t="s">
        <v>43</v>
      </c>
      <c r="C87" t="s">
        <v>61</v>
      </c>
      <c r="D87" t="s">
        <v>62</v>
      </c>
      <c r="E87">
        <v>1</v>
      </c>
      <c r="F87" t="s">
        <v>63</v>
      </c>
    </row>
    <row r="88" spans="2:6">
      <c r="B88" s="64" t="s">
        <v>44</v>
      </c>
      <c r="C88" t="s">
        <v>61</v>
      </c>
      <c r="D88" t="s">
        <v>62</v>
      </c>
      <c r="E88">
        <v>1</v>
      </c>
      <c r="F88" t="s">
        <v>63</v>
      </c>
    </row>
    <row r="89" spans="2:6">
      <c r="B89" s="64" t="s">
        <v>45</v>
      </c>
      <c r="C89" t="s">
        <v>61</v>
      </c>
      <c r="D89" t="s">
        <v>62</v>
      </c>
      <c r="E89">
        <v>0.95454545454545459</v>
      </c>
      <c r="F89" t="s">
        <v>63</v>
      </c>
    </row>
    <row r="90" spans="2:6">
      <c r="B90" s="64" t="s">
        <v>31</v>
      </c>
      <c r="C90" t="s">
        <v>64</v>
      </c>
      <c r="D90" t="s">
        <v>65</v>
      </c>
      <c r="E90">
        <v>0.95454545454545459</v>
      </c>
      <c r="F90" t="s">
        <v>65</v>
      </c>
    </row>
    <row r="91" spans="2:6">
      <c r="B91" s="64" t="s">
        <v>35</v>
      </c>
      <c r="C91" t="s">
        <v>64</v>
      </c>
      <c r="D91" t="s">
        <v>65</v>
      </c>
      <c r="E91">
        <v>0.95454545454545459</v>
      </c>
      <c r="F91" t="s">
        <v>65</v>
      </c>
    </row>
    <row r="92" spans="2:6">
      <c r="B92" s="64" t="s">
        <v>36</v>
      </c>
      <c r="C92" t="s">
        <v>64</v>
      </c>
      <c r="D92" t="s">
        <v>65</v>
      </c>
      <c r="E92">
        <v>0.95454545454545459</v>
      </c>
      <c r="F92" t="s">
        <v>65</v>
      </c>
    </row>
    <row r="93" spans="2:6">
      <c r="B93" s="64" t="s">
        <v>37</v>
      </c>
      <c r="C93" t="s">
        <v>64</v>
      </c>
      <c r="D93" t="s">
        <v>65</v>
      </c>
      <c r="E93">
        <v>1</v>
      </c>
      <c r="F93" t="s">
        <v>65</v>
      </c>
    </row>
    <row r="94" spans="2:6">
      <c r="B94" s="64" t="s">
        <v>38</v>
      </c>
      <c r="C94" t="s">
        <v>64</v>
      </c>
      <c r="D94" t="s">
        <v>65</v>
      </c>
      <c r="E94">
        <v>0.95454545454545459</v>
      </c>
      <c r="F94" t="s">
        <v>65</v>
      </c>
    </row>
    <row r="95" spans="2:6">
      <c r="B95" s="64" t="s">
        <v>39</v>
      </c>
      <c r="C95" t="s">
        <v>64</v>
      </c>
      <c r="D95" t="s">
        <v>65</v>
      </c>
      <c r="E95">
        <v>1</v>
      </c>
      <c r="F95" t="s">
        <v>65</v>
      </c>
    </row>
    <row r="96" spans="2:6">
      <c r="B96" s="64" t="s">
        <v>40</v>
      </c>
      <c r="C96" t="s">
        <v>64</v>
      </c>
      <c r="D96" t="s">
        <v>65</v>
      </c>
      <c r="E96">
        <v>1</v>
      </c>
      <c r="F96" t="s">
        <v>65</v>
      </c>
    </row>
    <row r="97" spans="2:6">
      <c r="B97" s="64" t="s">
        <v>41</v>
      </c>
      <c r="C97" t="s">
        <v>64</v>
      </c>
      <c r="D97" t="s">
        <v>65</v>
      </c>
      <c r="E97">
        <v>0.90909090909090906</v>
      </c>
      <c r="F97" t="s">
        <v>65</v>
      </c>
    </row>
    <row r="98" spans="2:6">
      <c r="B98" s="64" t="s">
        <v>42</v>
      </c>
      <c r="C98" t="s">
        <v>64</v>
      </c>
      <c r="D98" t="s">
        <v>65</v>
      </c>
      <c r="E98">
        <v>0.95454545454545459</v>
      </c>
      <c r="F98" t="s">
        <v>65</v>
      </c>
    </row>
    <row r="99" spans="2:6">
      <c r="B99" s="64" t="s">
        <v>43</v>
      </c>
      <c r="C99" t="s">
        <v>64</v>
      </c>
      <c r="D99" t="s">
        <v>65</v>
      </c>
      <c r="E99">
        <v>1</v>
      </c>
      <c r="F99" t="s">
        <v>65</v>
      </c>
    </row>
    <row r="100" spans="2:6">
      <c r="B100" s="64" t="s">
        <v>44</v>
      </c>
      <c r="C100" t="s">
        <v>64</v>
      </c>
      <c r="D100" t="s">
        <v>65</v>
      </c>
      <c r="E100">
        <v>1</v>
      </c>
      <c r="F100" t="s">
        <v>65</v>
      </c>
    </row>
    <row r="101" spans="2:6">
      <c r="B101" s="64" t="s">
        <v>45</v>
      </c>
      <c r="C101" t="s">
        <v>64</v>
      </c>
      <c r="D101" t="s">
        <v>65</v>
      </c>
      <c r="E101">
        <v>1</v>
      </c>
      <c r="F101" t="s">
        <v>65</v>
      </c>
    </row>
    <row r="102" spans="2:6">
      <c r="B102" s="64" t="s">
        <v>31</v>
      </c>
      <c r="C102" t="s">
        <v>66</v>
      </c>
      <c r="D102" t="s">
        <v>67</v>
      </c>
      <c r="E102">
        <v>0.95454545454545459</v>
      </c>
      <c r="F102" t="s">
        <v>67</v>
      </c>
    </row>
    <row r="103" spans="2:6">
      <c r="B103" s="64" t="s">
        <v>35</v>
      </c>
      <c r="C103" t="s">
        <v>66</v>
      </c>
      <c r="D103" t="s">
        <v>67</v>
      </c>
      <c r="E103">
        <v>0.90909090909090906</v>
      </c>
      <c r="F103" t="s">
        <v>67</v>
      </c>
    </row>
    <row r="104" spans="2:6">
      <c r="B104" s="64" t="s">
        <v>36</v>
      </c>
      <c r="C104" t="s">
        <v>66</v>
      </c>
      <c r="D104" t="s">
        <v>67</v>
      </c>
      <c r="E104">
        <v>0.90909090909090906</v>
      </c>
      <c r="F104" t="s">
        <v>67</v>
      </c>
    </row>
    <row r="105" spans="2:6">
      <c r="B105" s="64" t="s">
        <v>37</v>
      </c>
      <c r="C105" t="s">
        <v>66</v>
      </c>
      <c r="D105" t="s">
        <v>67</v>
      </c>
      <c r="E105">
        <v>0.90909090909090906</v>
      </c>
      <c r="F105" t="s">
        <v>67</v>
      </c>
    </row>
    <row r="106" spans="2:6">
      <c r="B106" s="64" t="s">
        <v>38</v>
      </c>
      <c r="C106" t="s">
        <v>66</v>
      </c>
      <c r="D106" t="s">
        <v>67</v>
      </c>
      <c r="E106">
        <v>0.90909090909090906</v>
      </c>
      <c r="F106" t="s">
        <v>67</v>
      </c>
    </row>
    <row r="107" spans="2:6">
      <c r="B107" s="64" t="s">
        <v>39</v>
      </c>
      <c r="C107" t="s">
        <v>66</v>
      </c>
      <c r="D107" t="s">
        <v>67</v>
      </c>
      <c r="E107">
        <v>0.95454545454545459</v>
      </c>
      <c r="F107" t="s">
        <v>67</v>
      </c>
    </row>
    <row r="108" spans="2:6">
      <c r="B108" s="64" t="s">
        <v>40</v>
      </c>
      <c r="C108" t="s">
        <v>66</v>
      </c>
      <c r="D108" t="s">
        <v>67</v>
      </c>
      <c r="E108">
        <v>0.95454545454545459</v>
      </c>
      <c r="F108" t="s">
        <v>67</v>
      </c>
    </row>
    <row r="109" spans="2:6">
      <c r="B109" s="64" t="s">
        <v>41</v>
      </c>
      <c r="C109" t="s">
        <v>66</v>
      </c>
      <c r="D109" t="s">
        <v>67</v>
      </c>
      <c r="E109">
        <v>0.95454545454545459</v>
      </c>
      <c r="F109" t="s">
        <v>67</v>
      </c>
    </row>
    <row r="110" spans="2:6">
      <c r="B110" s="64" t="s">
        <v>42</v>
      </c>
      <c r="C110" t="s">
        <v>66</v>
      </c>
      <c r="D110" t="s">
        <v>67</v>
      </c>
      <c r="E110">
        <v>0.95454545454545459</v>
      </c>
      <c r="F110" t="s">
        <v>67</v>
      </c>
    </row>
    <row r="111" spans="2:6">
      <c r="B111" s="64" t="s">
        <v>43</v>
      </c>
      <c r="C111" t="s">
        <v>66</v>
      </c>
      <c r="D111" t="s">
        <v>67</v>
      </c>
      <c r="E111">
        <v>0.95454545454545459</v>
      </c>
      <c r="F111" t="s">
        <v>67</v>
      </c>
    </row>
    <row r="112" spans="2:6">
      <c r="B112" s="64" t="s">
        <v>44</v>
      </c>
      <c r="C112" t="s">
        <v>66</v>
      </c>
      <c r="D112" t="s">
        <v>67</v>
      </c>
      <c r="E112">
        <v>0.90909090909090906</v>
      </c>
      <c r="F112" t="s">
        <v>67</v>
      </c>
    </row>
    <row r="113" spans="2:6">
      <c r="B113" s="64" t="s">
        <v>45</v>
      </c>
      <c r="C113" t="s">
        <v>66</v>
      </c>
      <c r="D113" t="s">
        <v>67</v>
      </c>
      <c r="E113">
        <v>0.90909090909090906</v>
      </c>
      <c r="F113" t="s">
        <v>67</v>
      </c>
    </row>
    <row r="114" spans="2:6">
      <c r="B114" s="64" t="s">
        <v>31</v>
      </c>
      <c r="C114" t="s">
        <v>68</v>
      </c>
      <c r="D114" t="s">
        <v>69</v>
      </c>
      <c r="E114">
        <v>0.90909090909090906</v>
      </c>
      <c r="F114" t="s">
        <v>69</v>
      </c>
    </row>
    <row r="115" spans="2:6">
      <c r="B115" s="64" t="s">
        <v>35</v>
      </c>
      <c r="C115" t="s">
        <v>68</v>
      </c>
      <c r="D115" t="s">
        <v>69</v>
      </c>
      <c r="E115">
        <v>1</v>
      </c>
      <c r="F115" t="s">
        <v>69</v>
      </c>
    </row>
    <row r="116" spans="2:6">
      <c r="B116" s="64" t="s">
        <v>36</v>
      </c>
      <c r="C116" t="s">
        <v>68</v>
      </c>
      <c r="D116" t="s">
        <v>69</v>
      </c>
      <c r="E116">
        <v>0.90909090909090906</v>
      </c>
      <c r="F116" t="s">
        <v>69</v>
      </c>
    </row>
    <row r="117" spans="2:6">
      <c r="B117" s="64" t="s">
        <v>37</v>
      </c>
      <c r="C117" t="s">
        <v>68</v>
      </c>
      <c r="D117" t="s">
        <v>69</v>
      </c>
      <c r="E117">
        <v>1</v>
      </c>
      <c r="F117" t="s">
        <v>69</v>
      </c>
    </row>
    <row r="118" spans="2:6">
      <c r="B118" s="64" t="s">
        <v>38</v>
      </c>
      <c r="C118" t="s">
        <v>68</v>
      </c>
      <c r="D118" t="s">
        <v>69</v>
      </c>
      <c r="E118">
        <v>1</v>
      </c>
      <c r="F118" t="s">
        <v>69</v>
      </c>
    </row>
    <row r="119" spans="2:6">
      <c r="B119" s="64" t="s">
        <v>39</v>
      </c>
      <c r="C119" t="s">
        <v>68</v>
      </c>
      <c r="D119" t="s">
        <v>69</v>
      </c>
      <c r="E119">
        <v>0.90909090909090906</v>
      </c>
      <c r="F119" t="s">
        <v>69</v>
      </c>
    </row>
    <row r="120" spans="2:6">
      <c r="B120" s="64" t="s">
        <v>40</v>
      </c>
      <c r="C120" t="s">
        <v>68</v>
      </c>
      <c r="D120" t="s">
        <v>69</v>
      </c>
      <c r="E120">
        <v>0.95454545454545459</v>
      </c>
      <c r="F120" t="s">
        <v>69</v>
      </c>
    </row>
    <row r="121" spans="2:6">
      <c r="B121" s="64" t="s">
        <v>41</v>
      </c>
      <c r="C121" t="s">
        <v>68</v>
      </c>
      <c r="D121" t="s">
        <v>69</v>
      </c>
      <c r="E121">
        <v>0.95454545454545459</v>
      </c>
      <c r="F121" t="s">
        <v>69</v>
      </c>
    </row>
    <row r="122" spans="2:6">
      <c r="B122" s="64" t="s">
        <v>42</v>
      </c>
      <c r="C122" t="s">
        <v>68</v>
      </c>
      <c r="D122" t="s">
        <v>69</v>
      </c>
      <c r="E122">
        <v>0.90909090909090906</v>
      </c>
      <c r="F122" t="s">
        <v>69</v>
      </c>
    </row>
    <row r="123" spans="2:6">
      <c r="B123" s="64" t="s">
        <v>43</v>
      </c>
      <c r="C123" t="s">
        <v>68</v>
      </c>
      <c r="D123" t="s">
        <v>69</v>
      </c>
      <c r="E123">
        <v>1</v>
      </c>
      <c r="F123" t="s">
        <v>69</v>
      </c>
    </row>
    <row r="124" spans="2:6">
      <c r="B124" s="64" t="s">
        <v>44</v>
      </c>
      <c r="C124" t="s">
        <v>68</v>
      </c>
      <c r="D124" t="s">
        <v>69</v>
      </c>
      <c r="E124">
        <v>0.95454545454545459</v>
      </c>
      <c r="F124" t="s">
        <v>69</v>
      </c>
    </row>
    <row r="125" spans="2:6">
      <c r="B125" s="64" t="s">
        <v>45</v>
      </c>
      <c r="C125" t="s">
        <v>68</v>
      </c>
      <c r="D125" t="s">
        <v>69</v>
      </c>
      <c r="E125">
        <v>0.90909090909090906</v>
      </c>
      <c r="F125" t="s">
        <v>69</v>
      </c>
    </row>
    <row r="126" spans="2:6">
      <c r="B126" s="64" t="s">
        <v>31</v>
      </c>
      <c r="C126" t="s">
        <v>70</v>
      </c>
      <c r="D126" t="s">
        <v>71</v>
      </c>
      <c r="E126">
        <v>0.90909090909090906</v>
      </c>
      <c r="F126" t="s">
        <v>71</v>
      </c>
    </row>
    <row r="127" spans="2:6">
      <c r="B127" s="64" t="s">
        <v>35</v>
      </c>
      <c r="C127" t="s">
        <v>70</v>
      </c>
      <c r="D127" t="s">
        <v>71</v>
      </c>
      <c r="E127">
        <v>0.90909090909090906</v>
      </c>
      <c r="F127" t="s">
        <v>71</v>
      </c>
    </row>
    <row r="128" spans="2:6">
      <c r="B128" s="64" t="s">
        <v>36</v>
      </c>
      <c r="C128" t="s">
        <v>70</v>
      </c>
      <c r="D128" t="s">
        <v>71</v>
      </c>
      <c r="E128">
        <v>0.90909090909090906</v>
      </c>
      <c r="F128" t="s">
        <v>71</v>
      </c>
    </row>
    <row r="129" spans="2:6">
      <c r="B129" s="64" t="s">
        <v>37</v>
      </c>
      <c r="C129" t="s">
        <v>70</v>
      </c>
      <c r="D129" t="s">
        <v>71</v>
      </c>
      <c r="E129">
        <v>0.95454545454545459</v>
      </c>
      <c r="F129" t="s">
        <v>71</v>
      </c>
    </row>
    <row r="130" spans="2:6">
      <c r="B130" s="64" t="s">
        <v>38</v>
      </c>
      <c r="C130" t="s">
        <v>70</v>
      </c>
      <c r="D130" t="s">
        <v>71</v>
      </c>
      <c r="E130">
        <v>0.86363636363636365</v>
      </c>
      <c r="F130" t="s">
        <v>71</v>
      </c>
    </row>
    <row r="131" spans="2:6">
      <c r="B131" s="64" t="s">
        <v>39</v>
      </c>
      <c r="C131" t="s">
        <v>70</v>
      </c>
      <c r="D131" t="s">
        <v>71</v>
      </c>
      <c r="E131">
        <v>1</v>
      </c>
      <c r="F131" t="s">
        <v>71</v>
      </c>
    </row>
    <row r="132" spans="2:6">
      <c r="B132" s="64" t="s">
        <v>40</v>
      </c>
      <c r="C132" t="s">
        <v>70</v>
      </c>
      <c r="D132" t="s">
        <v>71</v>
      </c>
      <c r="E132">
        <v>0.86363636363636365</v>
      </c>
      <c r="F132" t="s">
        <v>71</v>
      </c>
    </row>
    <row r="133" spans="2:6">
      <c r="B133" s="64" t="s">
        <v>41</v>
      </c>
      <c r="C133" t="s">
        <v>70</v>
      </c>
      <c r="D133" t="s">
        <v>71</v>
      </c>
      <c r="E133">
        <v>0.95454545454545459</v>
      </c>
      <c r="F133" t="s">
        <v>71</v>
      </c>
    </row>
    <row r="134" spans="2:6">
      <c r="B134" s="64" t="s">
        <v>42</v>
      </c>
      <c r="C134" t="s">
        <v>70</v>
      </c>
      <c r="D134" t="s">
        <v>71</v>
      </c>
      <c r="E134">
        <v>0.86363636363636365</v>
      </c>
      <c r="F134" t="s">
        <v>71</v>
      </c>
    </row>
    <row r="135" spans="2:6">
      <c r="B135" s="64" t="s">
        <v>43</v>
      </c>
      <c r="C135" t="s">
        <v>70</v>
      </c>
      <c r="D135" t="s">
        <v>71</v>
      </c>
      <c r="E135">
        <v>0.90909090909090906</v>
      </c>
      <c r="F135" t="s">
        <v>71</v>
      </c>
    </row>
    <row r="136" spans="2:6">
      <c r="B136" s="64" t="s">
        <v>44</v>
      </c>
      <c r="C136" t="s">
        <v>70</v>
      </c>
      <c r="D136" t="s">
        <v>71</v>
      </c>
      <c r="E136">
        <v>0.86363636363636365</v>
      </c>
      <c r="F136" t="s">
        <v>71</v>
      </c>
    </row>
    <row r="137" spans="2:6">
      <c r="B137" s="64" t="s">
        <v>45</v>
      </c>
      <c r="C137" t="s">
        <v>70</v>
      </c>
      <c r="D137" t="s">
        <v>71</v>
      </c>
      <c r="E137">
        <v>0.90909090909090906</v>
      </c>
      <c r="F137" t="s">
        <v>71</v>
      </c>
    </row>
    <row r="138" spans="2:6">
      <c r="B138" s="64" t="s">
        <v>31</v>
      </c>
      <c r="C138" t="s">
        <v>72</v>
      </c>
      <c r="D138" t="s">
        <v>73</v>
      </c>
      <c r="E138">
        <v>1</v>
      </c>
      <c r="F138" t="s">
        <v>74</v>
      </c>
    </row>
    <row r="139" spans="2:6">
      <c r="B139" s="64" t="s">
        <v>35</v>
      </c>
      <c r="C139" t="s">
        <v>72</v>
      </c>
      <c r="D139" t="s">
        <v>73</v>
      </c>
      <c r="E139">
        <v>1</v>
      </c>
      <c r="F139" t="s">
        <v>74</v>
      </c>
    </row>
    <row r="140" spans="2:6">
      <c r="B140" s="64" t="s">
        <v>36</v>
      </c>
      <c r="C140" t="s">
        <v>72</v>
      </c>
      <c r="D140" t="s">
        <v>73</v>
      </c>
      <c r="E140">
        <v>1</v>
      </c>
      <c r="F140" t="s">
        <v>74</v>
      </c>
    </row>
    <row r="141" spans="2:6">
      <c r="B141" s="64" t="s">
        <v>37</v>
      </c>
      <c r="C141" t="s">
        <v>72</v>
      </c>
      <c r="D141" t="s">
        <v>73</v>
      </c>
      <c r="E141">
        <v>1</v>
      </c>
      <c r="F141" t="s">
        <v>74</v>
      </c>
    </row>
    <row r="142" spans="2:6">
      <c r="B142" s="64" t="s">
        <v>38</v>
      </c>
      <c r="C142" t="s">
        <v>72</v>
      </c>
      <c r="D142" t="s">
        <v>73</v>
      </c>
      <c r="E142">
        <v>1</v>
      </c>
      <c r="F142" t="s">
        <v>74</v>
      </c>
    </row>
    <row r="143" spans="2:6">
      <c r="B143" s="64" t="s">
        <v>39</v>
      </c>
      <c r="C143" t="s">
        <v>72</v>
      </c>
      <c r="D143" t="s">
        <v>73</v>
      </c>
      <c r="E143">
        <v>1</v>
      </c>
      <c r="F143" t="s">
        <v>74</v>
      </c>
    </row>
    <row r="144" spans="2:6">
      <c r="B144" s="64" t="s">
        <v>40</v>
      </c>
      <c r="C144" t="s">
        <v>72</v>
      </c>
      <c r="D144" t="s">
        <v>73</v>
      </c>
      <c r="E144">
        <v>1</v>
      </c>
      <c r="F144" t="s">
        <v>74</v>
      </c>
    </row>
    <row r="145" spans="2:6">
      <c r="B145" s="64" t="s">
        <v>41</v>
      </c>
      <c r="C145" t="s">
        <v>72</v>
      </c>
      <c r="D145" t="s">
        <v>73</v>
      </c>
      <c r="E145">
        <v>1</v>
      </c>
      <c r="F145" t="s">
        <v>74</v>
      </c>
    </row>
    <row r="146" spans="2:6">
      <c r="B146" s="64" t="s">
        <v>42</v>
      </c>
      <c r="C146" t="s">
        <v>72</v>
      </c>
      <c r="D146" t="s">
        <v>73</v>
      </c>
      <c r="E146">
        <v>1</v>
      </c>
      <c r="F146" t="s">
        <v>74</v>
      </c>
    </row>
    <row r="147" spans="2:6">
      <c r="B147" s="64" t="s">
        <v>43</v>
      </c>
      <c r="C147" t="s">
        <v>72</v>
      </c>
      <c r="D147" t="s">
        <v>73</v>
      </c>
      <c r="E147">
        <v>1</v>
      </c>
      <c r="F147" t="s">
        <v>74</v>
      </c>
    </row>
    <row r="148" spans="2:6">
      <c r="B148" s="64" t="s">
        <v>44</v>
      </c>
      <c r="C148" t="s">
        <v>72</v>
      </c>
      <c r="D148" t="s">
        <v>73</v>
      </c>
      <c r="E148">
        <v>1</v>
      </c>
      <c r="F148" t="s">
        <v>74</v>
      </c>
    </row>
    <row r="149" spans="2:6">
      <c r="B149" s="64" t="s">
        <v>45</v>
      </c>
      <c r="C149" t="s">
        <v>72</v>
      </c>
      <c r="D149" t="s">
        <v>73</v>
      </c>
      <c r="E149">
        <v>1</v>
      </c>
      <c r="F149" t="s">
        <v>74</v>
      </c>
    </row>
    <row r="150" spans="2:6">
      <c r="B150" s="64" t="s">
        <v>31</v>
      </c>
      <c r="C150" t="s">
        <v>75</v>
      </c>
      <c r="D150" t="s">
        <v>76</v>
      </c>
      <c r="E150">
        <v>1</v>
      </c>
      <c r="F150" t="s">
        <v>76</v>
      </c>
    </row>
    <row r="151" spans="2:6">
      <c r="B151" s="64" t="s">
        <v>35</v>
      </c>
      <c r="C151" t="s">
        <v>75</v>
      </c>
      <c r="D151" t="s">
        <v>76</v>
      </c>
      <c r="E151">
        <v>1</v>
      </c>
      <c r="F151" t="s">
        <v>76</v>
      </c>
    </row>
    <row r="152" spans="2:6">
      <c r="B152" s="64" t="s">
        <v>36</v>
      </c>
      <c r="C152" t="s">
        <v>75</v>
      </c>
      <c r="D152" t="s">
        <v>76</v>
      </c>
      <c r="E152">
        <v>1</v>
      </c>
      <c r="F152" t="s">
        <v>76</v>
      </c>
    </row>
    <row r="153" spans="2:6">
      <c r="B153" s="64" t="s">
        <v>37</v>
      </c>
      <c r="C153" t="s">
        <v>75</v>
      </c>
      <c r="D153" t="s">
        <v>76</v>
      </c>
      <c r="E153">
        <v>1</v>
      </c>
      <c r="F153" t="s">
        <v>76</v>
      </c>
    </row>
    <row r="154" spans="2:6">
      <c r="B154" s="64" t="s">
        <v>38</v>
      </c>
      <c r="C154" t="s">
        <v>75</v>
      </c>
      <c r="D154" t="s">
        <v>76</v>
      </c>
      <c r="E154">
        <v>1</v>
      </c>
      <c r="F154" t="s">
        <v>76</v>
      </c>
    </row>
    <row r="155" spans="2:6">
      <c r="B155" s="64" t="s">
        <v>39</v>
      </c>
      <c r="C155" t="s">
        <v>75</v>
      </c>
      <c r="D155" t="s">
        <v>76</v>
      </c>
      <c r="E155">
        <v>0.95454545454545459</v>
      </c>
      <c r="F155" t="s">
        <v>76</v>
      </c>
    </row>
    <row r="156" spans="2:6">
      <c r="B156" s="64" t="s">
        <v>40</v>
      </c>
      <c r="C156" t="s">
        <v>75</v>
      </c>
      <c r="D156" t="s">
        <v>76</v>
      </c>
      <c r="E156">
        <v>1</v>
      </c>
      <c r="F156" t="s">
        <v>76</v>
      </c>
    </row>
    <row r="157" spans="2:6">
      <c r="B157" s="64" t="s">
        <v>41</v>
      </c>
      <c r="C157" t="s">
        <v>75</v>
      </c>
      <c r="D157" t="s">
        <v>76</v>
      </c>
      <c r="E157">
        <v>1</v>
      </c>
      <c r="F157" t="s">
        <v>76</v>
      </c>
    </row>
    <row r="158" spans="2:6">
      <c r="B158" s="64" t="s">
        <v>42</v>
      </c>
      <c r="C158" t="s">
        <v>75</v>
      </c>
      <c r="D158" t="s">
        <v>76</v>
      </c>
      <c r="E158">
        <v>1</v>
      </c>
      <c r="F158" t="s">
        <v>76</v>
      </c>
    </row>
    <row r="159" spans="2:6">
      <c r="B159" s="64" t="s">
        <v>43</v>
      </c>
      <c r="C159" t="s">
        <v>75</v>
      </c>
      <c r="D159" t="s">
        <v>76</v>
      </c>
      <c r="E159">
        <v>1</v>
      </c>
      <c r="F159" t="s">
        <v>76</v>
      </c>
    </row>
    <row r="160" spans="2:6">
      <c r="B160" s="64" t="s">
        <v>44</v>
      </c>
      <c r="C160" t="s">
        <v>75</v>
      </c>
      <c r="D160" t="s">
        <v>76</v>
      </c>
      <c r="E160">
        <v>0.95454545454545459</v>
      </c>
      <c r="F160" t="s">
        <v>76</v>
      </c>
    </row>
    <row r="161" spans="2:6">
      <c r="B161" s="64" t="s">
        <v>45</v>
      </c>
      <c r="C161" t="s">
        <v>75</v>
      </c>
      <c r="D161" t="s">
        <v>76</v>
      </c>
      <c r="E161">
        <v>1</v>
      </c>
      <c r="F161" t="s">
        <v>76</v>
      </c>
    </row>
  </sheetData>
  <mergeCells count="1">
    <mergeCell ref="B4:E4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B13"/>
  <sheetViews>
    <sheetView workbookViewId="0">
      <selection activeCell="A9" sqref="A9"/>
    </sheetView>
  </sheetViews>
  <sheetFormatPr defaultRowHeight="15"/>
  <cols>
    <col min="1" max="1" width="19.7109375" bestFit="1" customWidth="1"/>
    <col min="2" max="2" width="23.28515625" bestFit="1" customWidth="1"/>
    <col min="5" max="5" width="12.42578125" bestFit="1" customWidth="1"/>
  </cols>
  <sheetData>
    <row r="1" spans="1:2">
      <c r="A1" t="s">
        <v>26</v>
      </c>
      <c r="B1" t="s">
        <v>77</v>
      </c>
    </row>
    <row r="2" spans="1:2">
      <c r="A2" t="s">
        <v>31</v>
      </c>
      <c r="B2">
        <v>12.227272727272725</v>
      </c>
    </row>
    <row r="3" spans="1:2">
      <c r="A3" t="s">
        <v>36</v>
      </c>
      <c r="B3">
        <v>12.227272727272727</v>
      </c>
    </row>
    <row r="4" spans="1:2">
      <c r="A4" t="s">
        <v>40</v>
      </c>
      <c r="B4">
        <v>12.272727272727273</v>
      </c>
    </row>
    <row r="5" spans="1:2">
      <c r="A5" t="s">
        <v>45</v>
      </c>
      <c r="B5">
        <v>12.090909090909088</v>
      </c>
    </row>
    <row r="6" spans="1:2">
      <c r="A6" t="s">
        <v>35</v>
      </c>
      <c r="B6">
        <v>12.590909090909092</v>
      </c>
    </row>
    <row r="7" spans="1:2">
      <c r="A7" t="s">
        <v>37</v>
      </c>
      <c r="B7">
        <v>12.590909090909092</v>
      </c>
    </row>
    <row r="8" spans="1:2">
      <c r="A8" t="s">
        <v>41</v>
      </c>
      <c r="B8">
        <v>12.5</v>
      </c>
    </row>
    <row r="9" spans="1:2">
      <c r="A9" t="s">
        <v>42</v>
      </c>
      <c r="B9">
        <v>12.318181818181818</v>
      </c>
    </row>
    <row r="10" spans="1:2">
      <c r="A10" t="s">
        <v>52</v>
      </c>
      <c r="B10">
        <v>1.9090909090909092</v>
      </c>
    </row>
    <row r="11" spans="1:2">
      <c r="A11" t="s">
        <v>38</v>
      </c>
      <c r="B11">
        <v>12.136363636363635</v>
      </c>
    </row>
    <row r="12" spans="1:2">
      <c r="A12" t="s">
        <v>39</v>
      </c>
      <c r="B12">
        <v>12.227272727272728</v>
      </c>
    </row>
    <row r="13" spans="1:2">
      <c r="A13" t="s">
        <v>43</v>
      </c>
      <c r="B13">
        <v>12.681818181818182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>
    <tabColor theme="1" tint="0.499984740745262"/>
  </sheetPr>
  <dimension ref="B1:D14"/>
  <sheetViews>
    <sheetView topLeftCell="C1" workbookViewId="0">
      <selection activeCell="E5" sqref="E5"/>
    </sheetView>
  </sheetViews>
  <sheetFormatPr defaultRowHeight="15"/>
  <cols>
    <col min="2" max="4" width="80.85546875" bestFit="1" customWidth="1"/>
  </cols>
  <sheetData>
    <row r="1" spans="2:4">
      <c r="B1" t="s">
        <v>27</v>
      </c>
      <c r="C1" t="s">
        <v>28</v>
      </c>
      <c r="D1" t="s">
        <v>30</v>
      </c>
    </row>
    <row r="2" spans="2:4">
      <c r="B2" t="s">
        <v>32</v>
      </c>
      <c r="C2" t="s">
        <v>33</v>
      </c>
      <c r="D2" t="s">
        <v>34</v>
      </c>
    </row>
    <row r="3" spans="2:4">
      <c r="B3" t="s">
        <v>59</v>
      </c>
      <c r="C3" t="s">
        <v>60</v>
      </c>
      <c r="D3" t="s">
        <v>60</v>
      </c>
    </row>
    <row r="4" spans="2:4">
      <c r="B4" t="s">
        <v>61</v>
      </c>
      <c r="C4" t="s">
        <v>62</v>
      </c>
      <c r="D4" t="s">
        <v>63</v>
      </c>
    </row>
    <row r="5" spans="2:4">
      <c r="B5" t="s">
        <v>64</v>
      </c>
      <c r="C5" t="s">
        <v>65</v>
      </c>
      <c r="D5" t="s">
        <v>65</v>
      </c>
    </row>
    <row r="6" spans="2:4">
      <c r="B6" t="s">
        <v>66</v>
      </c>
      <c r="C6" t="s">
        <v>67</v>
      </c>
      <c r="D6" t="s">
        <v>67</v>
      </c>
    </row>
    <row r="7" spans="2:4">
      <c r="B7" t="s">
        <v>70</v>
      </c>
      <c r="C7" t="s">
        <v>71</v>
      </c>
      <c r="D7" t="s">
        <v>71</v>
      </c>
    </row>
    <row r="8" spans="2:4">
      <c r="B8" t="s">
        <v>72</v>
      </c>
      <c r="C8" t="s">
        <v>73</v>
      </c>
      <c r="D8" t="s">
        <v>74</v>
      </c>
    </row>
    <row r="9" spans="2:4">
      <c r="B9" t="s">
        <v>75</v>
      </c>
      <c r="C9" t="s">
        <v>76</v>
      </c>
      <c r="D9" t="s">
        <v>76</v>
      </c>
    </row>
    <row r="10" spans="2:4">
      <c r="B10" t="s">
        <v>46</v>
      </c>
      <c r="C10" t="s">
        <v>47</v>
      </c>
      <c r="D10" t="s">
        <v>48</v>
      </c>
    </row>
    <row r="11" spans="2:4">
      <c r="B11" t="s">
        <v>49</v>
      </c>
      <c r="C11" t="s">
        <v>50</v>
      </c>
      <c r="D11" t="s">
        <v>51</v>
      </c>
    </row>
    <row r="12" spans="2:4">
      <c r="B12" t="s">
        <v>53</v>
      </c>
      <c r="C12" t="s">
        <v>54</v>
      </c>
      <c r="D12" t="s">
        <v>55</v>
      </c>
    </row>
    <row r="13" spans="2:4">
      <c r="B13" t="s">
        <v>56</v>
      </c>
      <c r="C13" t="s">
        <v>57</v>
      </c>
      <c r="D13" t="s">
        <v>58</v>
      </c>
    </row>
    <row r="14" spans="2:4">
      <c r="B14" t="s">
        <v>68</v>
      </c>
      <c r="C14" t="s">
        <v>69</v>
      </c>
      <c r="D14" t="s">
        <v>69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>
    <tabColor theme="1" tint="0.499984740745262"/>
  </sheetPr>
  <dimension ref="B5:C18"/>
  <sheetViews>
    <sheetView showGridLines="0" showRowColHeaders="0" topLeftCell="A4" workbookViewId="0">
      <selection activeCell="B7" sqref="B7"/>
    </sheetView>
  </sheetViews>
  <sheetFormatPr defaultRowHeight="15"/>
  <cols>
    <col min="1" max="1" width="54" customWidth="1"/>
    <col min="2" max="2" width="19.7109375" bestFit="1" customWidth="1"/>
    <col min="3" max="3" width="19.28515625" style="21" bestFit="1" customWidth="1"/>
  </cols>
  <sheetData>
    <row r="5" spans="2:3" ht="18.75">
      <c r="B5" s="88" t="s">
        <v>78</v>
      </c>
      <c r="C5" s="88"/>
    </row>
    <row r="6" spans="2:3">
      <c r="B6" t="s">
        <v>26</v>
      </c>
      <c r="C6" s="21" t="s">
        <v>79</v>
      </c>
    </row>
    <row r="7" spans="2:3">
      <c r="B7" t="s">
        <v>44</v>
      </c>
      <c r="C7" s="22">
        <v>0.80069930069930095</v>
      </c>
    </row>
    <row r="8" spans="2:3">
      <c r="B8" t="s">
        <v>45</v>
      </c>
      <c r="C8" s="22">
        <v>0.93006993006993</v>
      </c>
    </row>
    <row r="9" spans="2:3">
      <c r="B9" t="s">
        <v>38</v>
      </c>
      <c r="C9" s="22">
        <v>0.93356643356643398</v>
      </c>
    </row>
    <row r="10" spans="2:3">
      <c r="B10" t="s">
        <v>31</v>
      </c>
      <c r="C10" s="22">
        <v>0.94055944055943996</v>
      </c>
    </row>
    <row r="11" spans="2:3">
      <c r="B11" t="s">
        <v>36</v>
      </c>
      <c r="C11" s="22">
        <v>0.94055944055943996</v>
      </c>
    </row>
    <row r="12" spans="2:3">
      <c r="B12" t="s">
        <v>39</v>
      </c>
      <c r="C12" s="22">
        <v>0.94055944055944096</v>
      </c>
    </row>
    <row r="13" spans="2:3">
      <c r="B13" t="s">
        <v>40</v>
      </c>
      <c r="C13" s="22">
        <v>0.94405594405594395</v>
      </c>
    </row>
    <row r="14" spans="2:3">
      <c r="B14" t="s">
        <v>42</v>
      </c>
      <c r="C14" s="22">
        <v>0.94755244755244805</v>
      </c>
    </row>
    <row r="15" spans="2:3">
      <c r="B15" t="s">
        <v>41</v>
      </c>
      <c r="C15" s="22">
        <v>0.96153846153846201</v>
      </c>
    </row>
    <row r="16" spans="2:3">
      <c r="B16" t="s">
        <v>35</v>
      </c>
      <c r="C16" s="22">
        <v>0.96853146853146899</v>
      </c>
    </row>
    <row r="17" spans="2:3">
      <c r="B17" t="s">
        <v>37</v>
      </c>
      <c r="C17" s="22">
        <v>0.96853146853146899</v>
      </c>
    </row>
    <row r="18" spans="2:3">
      <c r="B18" t="s">
        <v>43</v>
      </c>
      <c r="C18" s="22">
        <v>0.97552447552447596</v>
      </c>
    </row>
  </sheetData>
  <mergeCells count="1">
    <mergeCell ref="B5:C5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3"/>
  <dimension ref="A1:D10"/>
  <sheetViews>
    <sheetView workbookViewId="0">
      <selection activeCell="A11" sqref="A11"/>
    </sheetView>
  </sheetViews>
  <sheetFormatPr defaultRowHeight="15"/>
  <cols>
    <col min="1" max="1" width="23.7109375" bestFit="1" customWidth="1"/>
    <col min="2" max="2" width="81.140625" bestFit="1" customWidth="1"/>
    <col min="3" max="3" width="5" bestFit="1" customWidth="1"/>
    <col min="4" max="4" width="23.140625" bestFit="1" customWidth="1"/>
    <col min="5" max="5" width="17.7109375" bestFit="1" customWidth="1"/>
  </cols>
  <sheetData>
    <row r="1" spans="1:4">
      <c r="A1" t="s">
        <v>80</v>
      </c>
      <c r="B1" t="s">
        <v>81</v>
      </c>
    </row>
    <row r="2" spans="1:4">
      <c r="A2" t="s">
        <v>31</v>
      </c>
      <c r="B2" t="s">
        <v>82</v>
      </c>
      <c r="D2" t="s">
        <v>83</v>
      </c>
    </row>
    <row r="3" spans="1:4">
      <c r="A3" t="s">
        <v>84</v>
      </c>
      <c r="B3" t="s">
        <v>82</v>
      </c>
    </row>
    <row r="4" spans="1:4">
      <c r="A4" t="s">
        <v>36</v>
      </c>
      <c r="B4" t="s">
        <v>82</v>
      </c>
    </row>
    <row r="5" spans="1:4">
      <c r="A5" t="s">
        <v>85</v>
      </c>
      <c r="B5" t="s">
        <v>82</v>
      </c>
    </row>
    <row r="6" spans="1:4">
      <c r="A6" t="s">
        <v>40</v>
      </c>
      <c r="B6" t="s">
        <v>82</v>
      </c>
    </row>
    <row r="7" spans="1:4">
      <c r="A7" t="s">
        <v>41</v>
      </c>
      <c r="B7" t="s">
        <v>82</v>
      </c>
    </row>
    <row r="8" spans="1:4">
      <c r="A8" t="s">
        <v>42</v>
      </c>
      <c r="B8" t="s">
        <v>82</v>
      </c>
    </row>
    <row r="9" spans="1:4">
      <c r="A9" t="s">
        <v>44</v>
      </c>
      <c r="B9" t="s">
        <v>82</v>
      </c>
    </row>
    <row r="10" spans="1:4">
      <c r="A10" t="s">
        <v>45</v>
      </c>
      <c r="B10" t="s">
        <v>82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tabColor theme="1" tint="0.499984740745262"/>
  </sheetPr>
  <dimension ref="C2:E22"/>
  <sheetViews>
    <sheetView workbookViewId="0">
      <selection activeCell="C37" sqref="C37"/>
    </sheetView>
  </sheetViews>
  <sheetFormatPr defaultRowHeight="15"/>
  <cols>
    <col min="2" max="2" width="7.140625" bestFit="1" customWidth="1"/>
    <col min="3" max="3" width="54.85546875" bestFit="1" customWidth="1"/>
    <col min="4" max="4" width="75" bestFit="1" customWidth="1"/>
    <col min="5" max="5" width="10.5703125" bestFit="1" customWidth="1"/>
  </cols>
  <sheetData>
    <row r="2" spans="3:5">
      <c r="C2" t="s">
        <v>86</v>
      </c>
      <c r="D2" t="s">
        <v>87</v>
      </c>
    </row>
    <row r="3" spans="3:5">
      <c r="C3" t="s">
        <v>88</v>
      </c>
      <c r="D3" t="s">
        <v>135</v>
      </c>
    </row>
    <row r="4" spans="3:5">
      <c r="C4" t="s">
        <v>89</v>
      </c>
      <c r="D4" s="46" t="s">
        <v>135</v>
      </c>
    </row>
    <row r="14" spans="3:5">
      <c r="D14" s="23"/>
      <c r="E14" s="24"/>
    </row>
    <row r="15" spans="3:5">
      <c r="C15" t="s">
        <v>90</v>
      </c>
      <c r="E15" s="25"/>
    </row>
    <row r="16" spans="3:5">
      <c r="C16" t="s">
        <v>91</v>
      </c>
      <c r="E16" s="25"/>
    </row>
    <row r="17" spans="3:5">
      <c r="C17" t="s">
        <v>92</v>
      </c>
      <c r="E17" s="25"/>
    </row>
    <row r="18" spans="3:5">
      <c r="E18" s="25"/>
    </row>
    <row r="19" spans="3:5">
      <c r="E19" s="25"/>
    </row>
    <row r="20" spans="3:5">
      <c r="E20" s="25"/>
    </row>
    <row r="21" spans="3:5">
      <c r="C21" t="s">
        <v>93</v>
      </c>
    </row>
    <row r="22" spans="3:5">
      <c r="C22" t="s">
        <v>94</v>
      </c>
    </row>
  </sheetData>
  <hyperlinks>
    <hyperlink ref="D4" r:id="rId1" display="\\space9001\BI NOVO\RelatoriosMysuite\ListagemCompleta" xr:uid="{00000000-0004-0000-0600-000000000000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0">
    <tabColor theme="1" tint="0.499984740745262"/>
  </sheetPr>
  <dimension ref="A1:B1"/>
  <sheetViews>
    <sheetView topLeftCell="A4" workbookViewId="0">
      <selection activeCell="A11" sqref="A11"/>
    </sheetView>
  </sheetViews>
  <sheetFormatPr defaultRowHeight="15"/>
  <cols>
    <col min="1" max="1" width="11.7109375" bestFit="1" customWidth="1"/>
    <col min="2" max="2" width="9.42578125" bestFit="1" customWidth="1"/>
    <col min="3" max="3" width="23.140625" bestFit="1" customWidth="1"/>
    <col min="4" max="4" width="22.28515625" bestFit="1" customWidth="1"/>
    <col min="5" max="5" width="9.42578125" customWidth="1"/>
    <col min="6" max="6" width="21.5703125" bestFit="1" customWidth="1"/>
  </cols>
  <sheetData>
    <row r="1" spans="1:2">
      <c r="A1" t="s">
        <v>95</v>
      </c>
      <c r="B1" t="s">
        <v>96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>
    <tabColor theme="1" tint="0.499984740745262"/>
  </sheetPr>
  <dimension ref="A1:D2"/>
  <sheetViews>
    <sheetView workbookViewId="0">
      <selection activeCell="G9" sqref="G9"/>
    </sheetView>
  </sheetViews>
  <sheetFormatPr defaultRowHeight="15"/>
  <cols>
    <col min="1" max="1" width="29.5703125" bestFit="1" customWidth="1"/>
    <col min="2" max="2" width="16.7109375" bestFit="1" customWidth="1"/>
    <col min="3" max="3" width="9.140625" bestFit="1" customWidth="1"/>
    <col min="4" max="4" width="12" bestFit="1" customWidth="1"/>
  </cols>
  <sheetData>
    <row r="1" spans="1:4">
      <c r="A1" t="s">
        <v>97</v>
      </c>
      <c r="B1" t="s">
        <v>98</v>
      </c>
      <c r="C1" t="s">
        <v>99</v>
      </c>
      <c r="D1" t="s">
        <v>100</v>
      </c>
    </row>
    <row r="2" spans="1:4">
      <c r="D2" s="2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>
    <tabColor theme="1" tint="0.499984740745262"/>
  </sheetPr>
  <dimension ref="A1:F17"/>
  <sheetViews>
    <sheetView workbookViewId="0">
      <selection activeCell="D8" sqref="D8"/>
    </sheetView>
  </sheetViews>
  <sheetFormatPr defaultRowHeight="15"/>
  <cols>
    <col min="1" max="1" width="11.7109375" bestFit="1" customWidth="1"/>
    <col min="2" max="2" width="8.85546875" bestFit="1" customWidth="1"/>
    <col min="3" max="3" width="8.7109375" bestFit="1" customWidth="1"/>
    <col min="4" max="4" width="23.140625" bestFit="1" customWidth="1"/>
    <col min="5" max="5" width="22.28515625" bestFit="1" customWidth="1"/>
    <col min="6" max="6" width="18" style="47" customWidth="1"/>
  </cols>
  <sheetData>
    <row r="1" spans="1:6">
      <c r="A1" t="s">
        <v>95</v>
      </c>
      <c r="B1" t="s">
        <v>101</v>
      </c>
      <c r="F1"/>
    </row>
    <row r="2" spans="1:6">
      <c r="F2"/>
    </row>
    <row r="3" spans="1:6">
      <c r="F3"/>
    </row>
    <row r="4" spans="1:6">
      <c r="F4"/>
    </row>
    <row r="5" spans="1:6">
      <c r="F5"/>
    </row>
    <row r="6" spans="1:6">
      <c r="F6"/>
    </row>
    <row r="7" spans="1:6">
      <c r="F7"/>
    </row>
    <row r="8" spans="1:6">
      <c r="F8"/>
    </row>
    <row r="9" spans="1:6">
      <c r="F9"/>
    </row>
    <row r="10" spans="1:6">
      <c r="F10"/>
    </row>
    <row r="11" spans="1:6">
      <c r="F11"/>
    </row>
    <row r="12" spans="1:6">
      <c r="F12"/>
    </row>
    <row r="13" spans="1:6">
      <c r="F13"/>
    </row>
    <row r="14" spans="1:6">
      <c r="F14"/>
    </row>
    <row r="15" spans="1:6">
      <c r="F15"/>
    </row>
    <row r="16" spans="1:6">
      <c r="F16"/>
    </row>
    <row r="17" spans="6:6">
      <c r="F1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4"/>
  <dimension ref="A1"/>
  <sheetViews>
    <sheetView workbookViewId="0">
      <selection activeCell="L22" sqref="L22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8"/>
  <dimension ref="A1:B13"/>
  <sheetViews>
    <sheetView workbookViewId="0">
      <selection activeCell="A13" sqref="A13:XFD13"/>
    </sheetView>
  </sheetViews>
  <sheetFormatPr defaultRowHeight="15"/>
  <cols>
    <col min="1" max="1" width="5" bestFit="1" customWidth="1"/>
    <col min="2" max="2" width="20.28515625" bestFit="1" customWidth="1"/>
    <col min="3" max="3" width="19.5703125" customWidth="1"/>
  </cols>
  <sheetData>
    <row r="1" spans="1:2">
      <c r="A1" t="s">
        <v>102</v>
      </c>
      <c r="B1" t="s">
        <v>26</v>
      </c>
    </row>
    <row r="2" spans="1:2">
      <c r="A2">
        <v>1</v>
      </c>
      <c r="B2" t="s">
        <v>31</v>
      </c>
    </row>
    <row r="3" spans="1:2">
      <c r="A3">
        <v>2</v>
      </c>
      <c r="B3" t="s">
        <v>35</v>
      </c>
    </row>
    <row r="4" spans="1:2">
      <c r="A4">
        <v>3</v>
      </c>
      <c r="B4" t="s">
        <v>36</v>
      </c>
    </row>
    <row r="5" spans="1:2">
      <c r="A5">
        <v>4</v>
      </c>
      <c r="B5" t="s">
        <v>37</v>
      </c>
    </row>
    <row r="6" spans="1:2">
      <c r="A6">
        <v>5</v>
      </c>
      <c r="B6" t="s">
        <v>39</v>
      </c>
    </row>
    <row r="7" spans="1:2">
      <c r="A7">
        <v>6</v>
      </c>
      <c r="B7" t="s">
        <v>38</v>
      </c>
    </row>
    <row r="8" spans="1:2">
      <c r="A8">
        <v>7</v>
      </c>
      <c r="B8" t="s">
        <v>40</v>
      </c>
    </row>
    <row r="9" spans="1:2">
      <c r="A9">
        <v>8</v>
      </c>
      <c r="B9" t="s">
        <v>41</v>
      </c>
    </row>
    <row r="10" spans="1:2">
      <c r="A10">
        <v>9</v>
      </c>
      <c r="B10" t="s">
        <v>42</v>
      </c>
    </row>
    <row r="11" spans="1:2">
      <c r="A11">
        <v>10</v>
      </c>
      <c r="B11" t="s">
        <v>43</v>
      </c>
    </row>
    <row r="12" spans="1:2">
      <c r="A12">
        <v>11</v>
      </c>
      <c r="B12" t="s">
        <v>44</v>
      </c>
    </row>
    <row r="13" spans="1:2">
      <c r="A13">
        <v>13</v>
      </c>
      <c r="B13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9">
    <tabColor theme="9"/>
  </sheetPr>
  <dimension ref="B3:H18"/>
  <sheetViews>
    <sheetView topLeftCell="A4" workbookViewId="0">
      <selection activeCell="D23" sqref="D23"/>
    </sheetView>
  </sheetViews>
  <sheetFormatPr defaultRowHeight="15.75"/>
  <cols>
    <col min="1" max="1" width="23.140625" bestFit="1" customWidth="1"/>
    <col min="2" max="2" width="24.7109375" style="49" customWidth="1"/>
    <col min="3" max="3" width="19.5703125" style="49" customWidth="1"/>
    <col min="4" max="4" width="20" style="49" customWidth="1"/>
    <col min="5" max="5" width="19.140625" style="49" customWidth="1"/>
    <col min="6" max="6" width="15.140625" style="49" customWidth="1"/>
    <col min="7" max="7" width="15.85546875" style="49" customWidth="1"/>
  </cols>
  <sheetData>
    <row r="3" spans="2:8">
      <c r="B3" s="58"/>
      <c r="C3" s="59"/>
      <c r="D3" s="59"/>
      <c r="E3" s="59"/>
      <c r="F3" s="59"/>
      <c r="G3" s="59"/>
    </row>
    <row r="4" spans="2:8" ht="50.1" customHeight="1">
      <c r="B4" s="53" t="s">
        <v>103</v>
      </c>
      <c r="C4" s="53" t="s">
        <v>104</v>
      </c>
      <c r="D4" s="53" t="s">
        <v>105</v>
      </c>
      <c r="E4" s="53" t="s">
        <v>106</v>
      </c>
      <c r="F4" s="53" t="s">
        <v>107</v>
      </c>
      <c r="G4" s="53" t="s">
        <v>108</v>
      </c>
    </row>
    <row r="5" spans="2:8">
      <c r="B5" s="50" t="s">
        <v>31</v>
      </c>
      <c r="C5" s="50" t="s">
        <v>94</v>
      </c>
      <c r="D5" s="50" t="s">
        <v>90</v>
      </c>
      <c r="E5" s="51">
        <v>0</v>
      </c>
      <c r="F5" s="52">
        <v>0</v>
      </c>
      <c r="G5" s="52">
        <v>0</v>
      </c>
      <c r="H5" s="48"/>
    </row>
    <row r="6" spans="2:8">
      <c r="B6" s="50" t="s">
        <v>109</v>
      </c>
      <c r="C6" s="50" t="s">
        <v>93</v>
      </c>
      <c r="D6" s="50" t="s">
        <v>91</v>
      </c>
      <c r="E6" s="51">
        <v>0</v>
      </c>
      <c r="F6" s="52">
        <v>0</v>
      </c>
      <c r="G6" s="52">
        <v>0</v>
      </c>
      <c r="H6" s="48"/>
    </row>
    <row r="7" spans="2:8">
      <c r="B7" s="50" t="s">
        <v>36</v>
      </c>
      <c r="C7" s="50" t="s">
        <v>93</v>
      </c>
      <c r="D7" s="50" t="s">
        <v>90</v>
      </c>
      <c r="E7" s="51">
        <v>0</v>
      </c>
      <c r="F7" s="52">
        <v>0</v>
      </c>
      <c r="G7" s="52">
        <v>0</v>
      </c>
      <c r="H7" s="48"/>
    </row>
    <row r="8" spans="2:8">
      <c r="B8" s="50" t="s">
        <v>35</v>
      </c>
      <c r="C8" s="50" t="s">
        <v>94</v>
      </c>
      <c r="D8" s="50" t="s">
        <v>90</v>
      </c>
      <c r="E8" s="51">
        <v>0</v>
      </c>
      <c r="F8" s="52">
        <v>0</v>
      </c>
      <c r="G8" s="52">
        <v>0</v>
      </c>
      <c r="H8" s="48"/>
    </row>
    <row r="9" spans="2:8">
      <c r="B9" s="50" t="s">
        <v>38</v>
      </c>
      <c r="C9" s="50" t="s">
        <v>93</v>
      </c>
      <c r="D9" s="50" t="s">
        <v>90</v>
      </c>
      <c r="E9" s="51">
        <v>0</v>
      </c>
      <c r="F9" s="52">
        <v>0</v>
      </c>
      <c r="G9" s="52">
        <v>0</v>
      </c>
      <c r="H9" s="48"/>
    </row>
    <row r="10" spans="2:8">
      <c r="B10" s="50" t="s">
        <v>39</v>
      </c>
      <c r="C10" s="50" t="s">
        <v>93</v>
      </c>
      <c r="D10" s="50" t="s">
        <v>90</v>
      </c>
      <c r="E10" s="51">
        <v>0</v>
      </c>
      <c r="F10" s="52">
        <v>0</v>
      </c>
      <c r="G10" s="52">
        <v>0</v>
      </c>
      <c r="H10" s="48"/>
    </row>
    <row r="11" spans="2:8">
      <c r="B11" s="50" t="s">
        <v>43</v>
      </c>
      <c r="C11" s="50" t="s">
        <v>93</v>
      </c>
      <c r="D11" s="50" t="s">
        <v>90</v>
      </c>
      <c r="E11" s="51">
        <v>0</v>
      </c>
      <c r="F11" s="52">
        <v>0</v>
      </c>
      <c r="G11" s="52">
        <v>0</v>
      </c>
      <c r="H11" s="48"/>
    </row>
    <row r="12" spans="2:8">
      <c r="B12" s="50" t="s">
        <v>40</v>
      </c>
      <c r="C12" s="50" t="s">
        <v>93</v>
      </c>
      <c r="D12" s="50" t="s">
        <v>90</v>
      </c>
      <c r="E12" s="51">
        <v>0</v>
      </c>
      <c r="F12" s="52">
        <v>0</v>
      </c>
      <c r="G12" s="52">
        <v>0</v>
      </c>
      <c r="H12" s="48"/>
    </row>
    <row r="13" spans="2:8">
      <c r="B13" t="s">
        <v>41</v>
      </c>
      <c r="C13" s="50" t="s">
        <v>94</v>
      </c>
      <c r="D13" s="50" t="s">
        <v>90</v>
      </c>
      <c r="E13" s="51">
        <v>0</v>
      </c>
      <c r="F13" s="52">
        <v>0</v>
      </c>
      <c r="G13" s="52">
        <v>0</v>
      </c>
      <c r="H13" s="48"/>
    </row>
    <row r="14" spans="2:8">
      <c r="B14" s="50" t="s">
        <v>42</v>
      </c>
      <c r="C14" s="50" t="s">
        <v>94</v>
      </c>
      <c r="D14" s="50" t="s">
        <v>90</v>
      </c>
      <c r="E14" s="51">
        <v>0</v>
      </c>
      <c r="F14" s="52">
        <v>0</v>
      </c>
      <c r="G14" s="52">
        <v>0</v>
      </c>
      <c r="H14" s="48"/>
    </row>
    <row r="15" spans="2:8">
      <c r="B15" s="50" t="s">
        <v>37</v>
      </c>
      <c r="C15" s="50" t="s">
        <v>93</v>
      </c>
      <c r="D15" s="50" t="s">
        <v>90</v>
      </c>
      <c r="E15" s="51">
        <v>0</v>
      </c>
      <c r="F15" s="52">
        <v>0</v>
      </c>
      <c r="G15" s="52">
        <v>0</v>
      </c>
      <c r="H15" s="48"/>
    </row>
    <row r="16" spans="2:8">
      <c r="B16" s="50" t="s">
        <v>44</v>
      </c>
      <c r="C16" s="50" t="s">
        <v>93</v>
      </c>
      <c r="D16" s="50" t="s">
        <v>90</v>
      </c>
      <c r="E16" s="51">
        <v>0</v>
      </c>
      <c r="F16" s="52">
        <v>0</v>
      </c>
      <c r="G16" s="52">
        <v>0</v>
      </c>
      <c r="H16" s="48"/>
    </row>
    <row r="17" spans="2:7">
      <c r="B17" s="50" t="s">
        <v>110</v>
      </c>
      <c r="C17" s="50" t="s">
        <v>93</v>
      </c>
      <c r="D17" s="50" t="s">
        <v>90</v>
      </c>
      <c r="E17" s="51">
        <v>0</v>
      </c>
      <c r="F17" s="52">
        <v>0</v>
      </c>
      <c r="G17" s="52">
        <v>0</v>
      </c>
    </row>
    <row r="18" spans="2:7">
      <c r="B18" s="50" t="s">
        <v>45</v>
      </c>
      <c r="C18" s="50" t="s">
        <v>93</v>
      </c>
      <c r="D18" s="50" t="s">
        <v>90</v>
      </c>
      <c r="E18" s="51">
        <v>0</v>
      </c>
      <c r="F18" s="52">
        <v>0</v>
      </c>
      <c r="G18" s="52">
        <v>0</v>
      </c>
    </row>
  </sheetData>
  <conditionalFormatting sqref="C4:C18">
    <cfRule type="containsText" dxfId="14" priority="1" operator="containsText" text="Meia">
      <formula>NOT(ISERROR(SEARCH("Meia",C4)))</formula>
    </cfRule>
  </conditionalFormatting>
  <dataValidations count="1">
    <dataValidation type="list" allowBlank="1" showInputMessage="1" showErrorMessage="1" sqref="C5:C18" xr:uid="{00000000-0002-0000-0D00-000000000000}">
      <formula1>"Inteira,Meia"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Parametros!$C$15:$C$17</xm:f>
          </x14:formula1>
          <xm:sqref>D5:D18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">
    <tabColor theme="9"/>
    <pageSetUpPr fitToPage="1"/>
  </sheetPr>
  <dimension ref="A1:DS72"/>
  <sheetViews>
    <sheetView showGridLines="0" showRowColHeaders="0" tabSelected="1" zoomScaleNormal="100" workbookViewId="0">
      <selection activeCell="BO48" sqref="BO48:CA48"/>
    </sheetView>
  </sheetViews>
  <sheetFormatPr defaultColWidth="9.140625" defaultRowHeight="15" zeroHeight="1"/>
  <cols>
    <col min="1" max="2" width="9.140625" style="26"/>
    <col min="3" max="3" width="10.5703125" style="26" bestFit="1" customWidth="1"/>
    <col min="4" max="119" width="0.85546875" style="26" customWidth="1"/>
    <col min="120" max="120" width="1.85546875" style="26" customWidth="1"/>
    <col min="121" max="121" width="9.140625" style="26"/>
    <col min="122" max="123" width="12.42578125" style="26" bestFit="1" customWidth="1"/>
    <col min="124" max="16384" width="9.140625" style="26"/>
  </cols>
  <sheetData>
    <row r="1" spans="1:123">
      <c r="D1" s="158">
        <f>IFERROR(SUM(DG11,DG12,DG13,DG14,DG15,DG16,DG17,DG18,DG19,DG20,DG21,DG22,DG23,DG24,DG25,DG26,DG27,DG28,DG29,DG30,DG31,DG32,DG33,DG34,DG35,DG36,DG37,DG43,CB43,CF37,BD37,BB47,BB48,BB49,BB50,BB51,BB52,BO47,BO48,BO49,BO50,BO51,BO52,CB47,CB48,CB49,CB50,CB51,CB52,CP47,CP48,CP49,CP50,CP51,CP52,CU53,BP53,CO56,CO57,C3,C4,C5,C6,C7,C8,C9,C10,C11), "Um ou mais campos estão incorretos ou não preenchidos, verifique")</f>
        <v>5659.1776011777692</v>
      </c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158"/>
      <c r="BW1" s="158"/>
      <c r="BX1" s="158"/>
      <c r="BY1" s="158"/>
      <c r="BZ1" s="158"/>
      <c r="CA1" s="158"/>
      <c r="CB1" s="158"/>
      <c r="CC1" s="158"/>
      <c r="CD1" s="158"/>
      <c r="CE1" s="158"/>
      <c r="CF1" s="158"/>
      <c r="CG1" s="158"/>
      <c r="CH1" s="158"/>
      <c r="CI1" s="158"/>
      <c r="CJ1" s="158"/>
      <c r="CK1" s="158"/>
      <c r="CL1" s="158"/>
      <c r="CM1" s="158"/>
      <c r="CN1" s="158"/>
      <c r="CO1" s="158"/>
      <c r="CP1" s="158"/>
      <c r="CQ1" s="158"/>
      <c r="CR1" s="158"/>
      <c r="CS1" s="158"/>
      <c r="CT1" s="158"/>
      <c r="CU1" s="158"/>
      <c r="CV1" s="158"/>
      <c r="CW1" s="158"/>
      <c r="CX1" s="158"/>
      <c r="CY1" s="158"/>
      <c r="CZ1" s="158"/>
      <c r="DA1" s="158"/>
      <c r="DB1" s="158"/>
      <c r="DC1" s="158"/>
      <c r="DD1" s="158"/>
      <c r="DE1" s="158"/>
      <c r="DF1" s="158"/>
      <c r="DG1" s="158"/>
      <c r="DH1" s="158"/>
      <c r="DI1" s="158"/>
      <c r="DJ1" s="158"/>
      <c r="DK1" s="158"/>
      <c r="DL1" s="158"/>
      <c r="DM1" s="158"/>
      <c r="DN1" s="158"/>
      <c r="DO1" s="158"/>
      <c r="DP1" s="158"/>
      <c r="DQ1" s="62"/>
      <c r="DR1" s="62"/>
    </row>
    <row r="2" spans="1:123" ht="15" customHeight="1">
      <c r="A2" s="159" t="s">
        <v>111</v>
      </c>
      <c r="B2" s="159"/>
      <c r="C2" s="159"/>
      <c r="D2" s="96" t="s">
        <v>83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</row>
    <row r="3" spans="1:123" ht="15" customHeight="1">
      <c r="A3" s="162" t="s">
        <v>112</v>
      </c>
      <c r="B3" s="162"/>
      <c r="C3" s="55">
        <v>320</v>
      </c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6"/>
      <c r="AZ3" s="96"/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  <c r="BL3" s="96"/>
      <c r="BM3" s="96"/>
      <c r="BN3" s="96"/>
      <c r="BO3" s="96"/>
      <c r="BP3" s="96"/>
      <c r="BQ3" s="96"/>
      <c r="BR3" s="96"/>
      <c r="BS3" s="96"/>
      <c r="BT3" s="96"/>
      <c r="BU3" s="96"/>
      <c r="BV3" s="96"/>
      <c r="BW3" s="96"/>
      <c r="BX3" s="96"/>
      <c r="BY3" s="96"/>
      <c r="BZ3" s="96"/>
      <c r="CA3" s="96"/>
      <c r="CB3" s="96"/>
      <c r="CC3" s="96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6"/>
      <c r="CP3" s="96"/>
      <c r="CQ3" s="96"/>
      <c r="CR3" s="96"/>
      <c r="CS3" s="96"/>
      <c r="CT3" s="96"/>
      <c r="CU3" s="96"/>
      <c r="CV3" s="96"/>
      <c r="CW3" s="96"/>
      <c r="CX3" s="96"/>
      <c r="CY3" s="96"/>
      <c r="CZ3" s="96"/>
      <c r="DA3" s="96"/>
      <c r="DB3" s="96"/>
      <c r="DC3" s="96"/>
      <c r="DD3" s="96"/>
      <c r="DE3" s="96"/>
      <c r="DF3" s="96"/>
      <c r="DG3" s="96"/>
      <c r="DH3" s="96"/>
      <c r="DI3" s="96"/>
      <c r="DJ3" s="96"/>
      <c r="DK3" s="96"/>
      <c r="DL3" s="96"/>
      <c r="DM3" s="96"/>
      <c r="DN3" s="96"/>
      <c r="DO3" s="96"/>
      <c r="DP3" s="96"/>
    </row>
    <row r="4" spans="1:123">
      <c r="A4" s="162" t="s">
        <v>113</v>
      </c>
      <c r="B4" s="162"/>
      <c r="C4" s="55">
        <v>100</v>
      </c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  <c r="CZ4" s="27"/>
      <c r="DA4" s="27"/>
      <c r="DB4" s="27"/>
      <c r="DC4" s="27"/>
      <c r="DD4" s="27"/>
      <c r="DE4" s="27"/>
      <c r="DF4" s="27"/>
      <c r="DG4" s="27"/>
      <c r="DH4" s="160" t="s">
        <v>104</v>
      </c>
      <c r="DI4" s="160"/>
      <c r="DJ4" s="160"/>
      <c r="DK4" s="160"/>
      <c r="DL4" s="160"/>
      <c r="DM4" s="160"/>
      <c r="DN4" s="160"/>
      <c r="DO4" s="160"/>
      <c r="DP4" s="160"/>
    </row>
    <row r="5" spans="1:123">
      <c r="A5" s="162" t="s">
        <v>114</v>
      </c>
      <c r="B5" s="162"/>
      <c r="C5" s="55">
        <v>140</v>
      </c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57" t="str">
        <f>VLOOKUP(CF5,DimOperador[],2)</f>
        <v>Samuel Ivens</v>
      </c>
      <c r="CF5" s="45">
        <v>11</v>
      </c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118" t="str">
        <f>VLOOKUP(CE5,'Operador - Lançamentos Manuais'!B:G,2,FALSE)</f>
        <v>Inteira</v>
      </c>
      <c r="DI5" s="118"/>
      <c r="DJ5" s="118"/>
      <c r="DK5" s="118"/>
      <c r="DL5" s="118"/>
      <c r="DM5" s="118"/>
      <c r="DN5" s="118"/>
      <c r="DO5" s="118"/>
      <c r="DP5" s="118"/>
      <c r="DS5" s="33"/>
    </row>
    <row r="6" spans="1:123">
      <c r="A6" s="162" t="s">
        <v>18</v>
      </c>
      <c r="B6" s="162"/>
      <c r="C6" s="55">
        <v>110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7"/>
      <c r="CW6" s="27"/>
      <c r="CX6" s="27"/>
      <c r="CY6" s="27"/>
      <c r="CZ6" s="27"/>
      <c r="DA6" s="27"/>
      <c r="DB6" s="27"/>
      <c r="DC6" s="27"/>
      <c r="DD6" s="27"/>
      <c r="DE6" s="27"/>
      <c r="DF6" s="27"/>
      <c r="DG6" s="27"/>
      <c r="DH6" s="161">
        <f>IF(DH5="Inteira", 1,0.5)</f>
        <v>1</v>
      </c>
      <c r="DI6" s="161"/>
      <c r="DJ6" s="161"/>
      <c r="DK6" s="161"/>
      <c r="DL6" s="161"/>
      <c r="DM6" s="161"/>
      <c r="DN6" s="161"/>
      <c r="DO6" s="161"/>
      <c r="DP6" s="161"/>
    </row>
    <row r="7" spans="1:123">
      <c r="A7" s="162" t="s">
        <v>115</v>
      </c>
      <c r="B7" s="162"/>
      <c r="C7" s="55">
        <v>20</v>
      </c>
      <c r="D7" s="118" t="str">
        <f>IFERROR(VLOOKUP(CE5,Validacoes!A:B,2,),"")</f>
        <v>Verifique se o nome do operador na avaliação está igual ao cadastro do mysuite. Corrija na avaliação 360 e faça a importação novamente.</v>
      </c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  <c r="BK7" s="118"/>
      <c r="BL7" s="118"/>
      <c r="BM7" s="118"/>
      <c r="BN7" s="118"/>
      <c r="BO7" s="118"/>
      <c r="BP7" s="118"/>
      <c r="BQ7" s="118"/>
      <c r="BR7" s="118"/>
      <c r="BS7" s="118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18"/>
      <c r="CT7" s="118"/>
      <c r="CU7" s="118"/>
      <c r="CV7" s="118"/>
      <c r="CW7" s="118"/>
      <c r="CX7" s="118"/>
      <c r="CY7" s="118"/>
      <c r="CZ7" s="118"/>
      <c r="DA7" s="118"/>
      <c r="DB7" s="118"/>
      <c r="DC7" s="118"/>
      <c r="DD7" s="118"/>
      <c r="DE7" s="118"/>
      <c r="DF7" s="118"/>
      <c r="DG7" s="118"/>
      <c r="DH7" s="118"/>
      <c r="DI7" s="118"/>
      <c r="DJ7" s="118"/>
      <c r="DK7" s="118"/>
      <c r="DL7" s="118"/>
      <c r="DM7" s="118"/>
      <c r="DN7" s="118"/>
      <c r="DO7" s="118"/>
      <c r="DP7" s="118"/>
    </row>
    <row r="8" spans="1:123" ht="36" customHeight="1">
      <c r="A8" s="162" t="s">
        <v>116</v>
      </c>
      <c r="B8" s="162"/>
      <c r="C8" s="55">
        <v>50</v>
      </c>
      <c r="D8" s="97" t="str">
        <f>UPPER(CE5 &amp; " - " &amp; MetaPri!A2)</f>
        <v xml:space="preserve">SAMUEL IVENS - </v>
      </c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97"/>
      <c r="AS8" s="97"/>
      <c r="AT8" s="97"/>
      <c r="AU8" s="97"/>
      <c r="AV8" s="97"/>
      <c r="AW8" s="97"/>
      <c r="AX8" s="97"/>
      <c r="AY8" s="97"/>
      <c r="AZ8" s="97"/>
      <c r="BA8" s="97"/>
      <c r="BB8" s="97"/>
      <c r="BC8" s="97"/>
      <c r="BD8" s="97"/>
      <c r="BE8" s="97"/>
      <c r="BF8" s="97"/>
      <c r="BG8" s="97"/>
      <c r="BH8" s="97"/>
      <c r="BI8" s="97"/>
      <c r="BJ8" s="97"/>
      <c r="BK8" s="97"/>
      <c r="BL8" s="97"/>
      <c r="BM8" s="97"/>
      <c r="BN8" s="97"/>
      <c r="BO8" s="97"/>
      <c r="BP8" s="97"/>
      <c r="BQ8" s="97"/>
      <c r="BR8" s="97"/>
      <c r="BS8" s="97"/>
      <c r="BT8" s="97"/>
      <c r="BU8" s="97"/>
      <c r="BV8" s="97"/>
      <c r="BW8" s="97"/>
      <c r="BX8" s="97"/>
      <c r="BY8" s="97"/>
      <c r="BZ8" s="97"/>
      <c r="CA8" s="97"/>
      <c r="CB8" s="97"/>
      <c r="CC8" s="97"/>
      <c r="CD8" s="97"/>
      <c r="CE8" s="97"/>
      <c r="CF8" s="97"/>
      <c r="CG8" s="97"/>
      <c r="CH8" s="97"/>
      <c r="CI8" s="97"/>
      <c r="CJ8" s="97"/>
      <c r="CK8" s="97"/>
      <c r="CL8" s="97"/>
      <c r="CM8" s="97"/>
      <c r="CN8" s="97"/>
      <c r="CO8" s="97"/>
      <c r="CP8" s="97"/>
      <c r="CQ8" s="97"/>
      <c r="CR8" s="97"/>
      <c r="CS8" s="97"/>
      <c r="CT8" s="97"/>
      <c r="CU8" s="97"/>
      <c r="CV8" s="97"/>
      <c r="CW8" s="97"/>
      <c r="CX8" s="97"/>
      <c r="CY8" s="97"/>
      <c r="CZ8" s="97"/>
      <c r="DA8" s="97"/>
      <c r="DB8" s="97"/>
      <c r="DC8" s="97"/>
      <c r="DD8" s="97"/>
      <c r="DE8" s="97"/>
      <c r="DF8" s="97"/>
      <c r="DG8" s="97"/>
      <c r="DH8" s="97"/>
      <c r="DI8" s="97"/>
      <c r="DJ8" s="97"/>
      <c r="DK8" s="97"/>
      <c r="DL8" s="97"/>
      <c r="DM8" s="97"/>
      <c r="DN8" s="97"/>
      <c r="DO8" s="97"/>
      <c r="DP8" s="97"/>
    </row>
    <row r="9" spans="1:123" s="31" customFormat="1" ht="15" customHeight="1">
      <c r="A9" s="163" t="s">
        <v>117</v>
      </c>
      <c r="B9" s="163"/>
      <c r="C9" s="56">
        <v>20</v>
      </c>
      <c r="D9" s="28"/>
      <c r="E9" s="28"/>
      <c r="F9" s="28"/>
      <c r="G9" s="29" t="s">
        <v>136</v>
      </c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  <c r="DB9" s="30"/>
      <c r="DC9" s="30"/>
      <c r="DD9" s="3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</row>
    <row r="10" spans="1:123" ht="15.75">
      <c r="A10" s="162" t="s">
        <v>118</v>
      </c>
      <c r="B10" s="162"/>
      <c r="C10" s="55">
        <v>20</v>
      </c>
      <c r="E10" s="98" t="s">
        <v>2</v>
      </c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M10" s="98"/>
      <c r="BN10" s="98"/>
      <c r="BO10" s="98"/>
      <c r="BP10" s="98"/>
      <c r="BQ10" s="98"/>
      <c r="BR10" s="98"/>
      <c r="BS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  <c r="CW10" s="98"/>
      <c r="CX10" s="98"/>
      <c r="CY10" s="98"/>
      <c r="CZ10" s="98"/>
      <c r="DA10" s="98"/>
      <c r="DB10" s="98"/>
      <c r="DC10" s="98"/>
      <c r="DD10" s="98"/>
      <c r="DE10" s="98"/>
      <c r="DF10" s="98"/>
      <c r="DG10" s="98" t="s">
        <v>3</v>
      </c>
      <c r="DH10" s="98"/>
      <c r="DI10" s="98"/>
      <c r="DJ10" s="98"/>
      <c r="DK10" s="98"/>
      <c r="DL10" s="98"/>
      <c r="DM10" s="98"/>
      <c r="DN10" s="98"/>
      <c r="DO10" s="98"/>
      <c r="DP10" s="98"/>
    </row>
    <row r="11" spans="1:123" ht="17.25" customHeight="1">
      <c r="C11" s="32">
        <f>SUM(C3:C10)</f>
        <v>780</v>
      </c>
      <c r="D11" s="33" t="str">
        <f>AuxCriterios!D2</f>
        <v>Pontualidade ao iniciar o expediente e retorno dos intervalos de almoço, respeitando também os 15 mi</v>
      </c>
      <c r="E11" s="89" t="str">
        <f>AuxCriterios!C2</f>
        <v>Pontualidade ao iniciar o expediente e retorno dos intervalos de almoço, respeitando também os 15 minutos de café estipulados pela empresa.</v>
      </c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9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89"/>
      <c r="CT11" s="89"/>
      <c r="CU11" s="89"/>
      <c r="CV11" s="89"/>
      <c r="CW11" s="89"/>
      <c r="CX11" s="89"/>
      <c r="CY11" s="89"/>
      <c r="CZ11" s="89"/>
      <c r="DA11" s="89"/>
      <c r="DB11" s="89"/>
      <c r="DC11" s="89"/>
      <c r="DD11" s="89"/>
      <c r="DE11" s="89"/>
      <c r="DF11" s="89"/>
      <c r="DG11" s="99">
        <f>SUMIFS(
'Media Operador x Criterio'!E:E,
    'Media Operador x Criterio'!F:F,
    'Report Fechamento'!D11,
        'Media Operador x Criterio'!B:B,
         'Report Fechamento'!$CE$5)</f>
        <v>0.90909090909090906</v>
      </c>
      <c r="DH11" s="100"/>
      <c r="DI11" s="100"/>
      <c r="DJ11" s="100"/>
      <c r="DK11" s="100"/>
      <c r="DL11" s="100"/>
      <c r="DM11" s="100"/>
      <c r="DN11" s="100"/>
      <c r="DO11" s="100"/>
      <c r="DP11" s="101"/>
    </row>
    <row r="12" spans="1:123" ht="17.25" customHeight="1">
      <c r="D12" s="3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9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89"/>
      <c r="CT12" s="89"/>
      <c r="CU12" s="89"/>
      <c r="CV12" s="89"/>
      <c r="CW12" s="89"/>
      <c r="CX12" s="89"/>
      <c r="CY12" s="89"/>
      <c r="CZ12" s="89"/>
      <c r="DA12" s="89"/>
      <c r="DB12" s="89"/>
      <c r="DC12" s="89"/>
      <c r="DD12" s="89"/>
      <c r="DE12" s="89"/>
      <c r="DF12" s="89"/>
      <c r="DG12" s="102">
        <f>DG11*2</f>
        <v>1.8181818181818181</v>
      </c>
      <c r="DH12" s="103"/>
      <c r="DI12" s="103"/>
      <c r="DJ12" s="103"/>
      <c r="DK12" s="103"/>
      <c r="DL12" s="103"/>
      <c r="DM12" s="103"/>
      <c r="DN12" s="103"/>
      <c r="DO12" s="103"/>
      <c r="DP12" s="104"/>
    </row>
    <row r="13" spans="1:123" ht="17.25" customHeight="1">
      <c r="D13" s="33" t="str">
        <f>AuxCriterios!D3</f>
        <v>Fornece soluções precisas e eficazes para os problemas apresentados pelos clientes.</v>
      </c>
      <c r="E13" s="89" t="str">
        <f>AuxCriterios!C3</f>
        <v>Fornece soluções precisas e eficazes para os problemas apresentados pelos clientes.</v>
      </c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9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89"/>
      <c r="CT13" s="89"/>
      <c r="CU13" s="89"/>
      <c r="CV13" s="89"/>
      <c r="CW13" s="89"/>
      <c r="CX13" s="89"/>
      <c r="CY13" s="89"/>
      <c r="CZ13" s="89"/>
      <c r="DA13" s="89"/>
      <c r="DB13" s="89"/>
      <c r="DC13" s="89"/>
      <c r="DD13" s="89"/>
      <c r="DE13" s="89"/>
      <c r="DF13" s="89"/>
      <c r="DG13" s="99">
        <f>SUMIFS('Media Operador x Criterio'!E:E,'Media Operador x Criterio'!F:F,'Report Fechamento'!D13,'Media Operador x Criterio'!B:B,'Report Fechamento'!$CE$5)</f>
        <v>1</v>
      </c>
      <c r="DH13" s="100"/>
      <c r="DI13" s="100"/>
      <c r="DJ13" s="100"/>
      <c r="DK13" s="100"/>
      <c r="DL13" s="100"/>
      <c r="DM13" s="100"/>
      <c r="DN13" s="100"/>
      <c r="DO13" s="100"/>
      <c r="DP13" s="101"/>
    </row>
    <row r="14" spans="1:123" ht="17.25" customHeight="1">
      <c r="C14" s="40"/>
      <c r="D14" s="33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89"/>
      <c r="CD14" s="89"/>
      <c r="CE14" s="89"/>
      <c r="CF14" s="89"/>
      <c r="CG14" s="89"/>
      <c r="CH14" s="89"/>
      <c r="CI14" s="89"/>
      <c r="CJ14" s="89"/>
      <c r="CK14" s="89"/>
      <c r="CL14" s="89"/>
      <c r="CM14" s="89"/>
      <c r="CN14" s="89"/>
      <c r="CO14" s="89"/>
      <c r="CP14" s="89"/>
      <c r="CQ14" s="89"/>
      <c r="CR14" s="89"/>
      <c r="CS14" s="89"/>
      <c r="CT14" s="89"/>
      <c r="CU14" s="89"/>
      <c r="CV14" s="89"/>
      <c r="CW14" s="89"/>
      <c r="CX14" s="89"/>
      <c r="CY14" s="89"/>
      <c r="CZ14" s="89"/>
      <c r="DA14" s="89"/>
      <c r="DB14" s="89"/>
      <c r="DC14" s="89"/>
      <c r="DD14" s="89"/>
      <c r="DE14" s="89"/>
      <c r="DF14" s="89"/>
      <c r="DG14" s="102">
        <f>DG13*2</f>
        <v>2</v>
      </c>
      <c r="DH14" s="103"/>
      <c r="DI14" s="103"/>
      <c r="DJ14" s="103"/>
      <c r="DK14" s="103"/>
      <c r="DL14" s="103"/>
      <c r="DM14" s="103"/>
      <c r="DN14" s="103"/>
      <c r="DO14" s="103"/>
      <c r="DP14" s="104"/>
    </row>
    <row r="15" spans="1:123" ht="17.25" customHeight="1">
      <c r="D15" s="33" t="str">
        <f>AuxCriterios!D4</f>
        <v>Comunica de forma clara, objetiva e eficaz, garantindo que colaboradores internos e os clientes ente</v>
      </c>
      <c r="E15" s="89" t="str">
        <f>AuxCriterios!C4</f>
        <v>Comunica de forma clara, objetiva e eficaz, garantindo que colaboradores internos e os clientes entendam a solução proposta.</v>
      </c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89"/>
      <c r="CD15" s="89"/>
      <c r="CE15" s="89"/>
      <c r="CF15" s="89"/>
      <c r="CG15" s="89"/>
      <c r="CH15" s="89"/>
      <c r="CI15" s="89"/>
      <c r="CJ15" s="89"/>
      <c r="CK15" s="89"/>
      <c r="CL15" s="89"/>
      <c r="CM15" s="89"/>
      <c r="CN15" s="89"/>
      <c r="CO15" s="89"/>
      <c r="CP15" s="89"/>
      <c r="CQ15" s="89"/>
      <c r="CR15" s="89"/>
      <c r="CS15" s="89"/>
      <c r="CT15" s="89"/>
      <c r="CU15" s="89"/>
      <c r="CV15" s="89"/>
      <c r="CW15" s="89"/>
      <c r="CX15" s="89"/>
      <c r="CY15" s="89"/>
      <c r="CZ15" s="89"/>
      <c r="DA15" s="89"/>
      <c r="DB15" s="89"/>
      <c r="DC15" s="89"/>
      <c r="DD15" s="89"/>
      <c r="DE15" s="89"/>
      <c r="DF15" s="89"/>
      <c r="DG15" s="99">
        <f>SUMIFS('Media Operador x Criterio'!E:E,'Media Operador x Criterio'!F:F,'Report Fechamento'!D15,'Media Operador x Criterio'!B:B,'Report Fechamento'!$CE$5)</f>
        <v>1</v>
      </c>
      <c r="DH15" s="100"/>
      <c r="DI15" s="100"/>
      <c r="DJ15" s="100"/>
      <c r="DK15" s="100"/>
      <c r="DL15" s="100"/>
      <c r="DM15" s="100"/>
      <c r="DN15" s="100"/>
      <c r="DO15" s="100"/>
      <c r="DP15" s="101"/>
    </row>
    <row r="16" spans="1:123" ht="17.25" customHeight="1">
      <c r="D16" s="33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89"/>
      <c r="CD16" s="89"/>
      <c r="CE16" s="89"/>
      <c r="CF16" s="89"/>
      <c r="CG16" s="89"/>
      <c r="CH16" s="89"/>
      <c r="CI16" s="89"/>
      <c r="CJ16" s="89"/>
      <c r="CK16" s="89"/>
      <c r="CL16" s="89"/>
      <c r="CM16" s="89"/>
      <c r="CN16" s="89"/>
      <c r="CO16" s="89"/>
      <c r="CP16" s="89"/>
      <c r="CQ16" s="89"/>
      <c r="CR16" s="89"/>
      <c r="CS16" s="89"/>
      <c r="CT16" s="89"/>
      <c r="CU16" s="89"/>
      <c r="CV16" s="89"/>
      <c r="CW16" s="89"/>
      <c r="CX16" s="89"/>
      <c r="CY16" s="89"/>
      <c r="CZ16" s="89"/>
      <c r="DA16" s="89"/>
      <c r="DB16" s="89"/>
      <c r="DC16" s="89"/>
      <c r="DD16" s="89"/>
      <c r="DE16" s="89"/>
      <c r="DF16" s="89"/>
      <c r="DG16" s="102">
        <f>DG15*2</f>
        <v>2</v>
      </c>
      <c r="DH16" s="103"/>
      <c r="DI16" s="103"/>
      <c r="DJ16" s="103"/>
      <c r="DK16" s="103"/>
      <c r="DL16" s="103"/>
      <c r="DM16" s="103"/>
      <c r="DN16" s="103"/>
      <c r="DO16" s="103"/>
      <c r="DP16" s="104"/>
    </row>
    <row r="17" spans="4:120" ht="17.25" customHeight="1">
      <c r="D17" s="33" t="str">
        <f>AuxCriterios!D5</f>
        <v>Lida bem com os clientes difíceis ou situações estressantes.</v>
      </c>
      <c r="E17" s="89" t="str">
        <f>AuxCriterios!C5</f>
        <v>Lida bem com os clientes difíceis ou situações estressantes.</v>
      </c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89"/>
      <c r="CD17" s="89"/>
      <c r="CE17" s="89"/>
      <c r="CF17" s="89"/>
      <c r="CG17" s="89"/>
      <c r="CH17" s="89"/>
      <c r="CI17" s="89"/>
      <c r="CJ17" s="89"/>
      <c r="CK17" s="89"/>
      <c r="CL17" s="89"/>
      <c r="CM17" s="89"/>
      <c r="CN17" s="89"/>
      <c r="CO17" s="89"/>
      <c r="CP17" s="89"/>
      <c r="CQ17" s="89"/>
      <c r="CR17" s="89"/>
      <c r="CS17" s="89"/>
      <c r="CT17" s="89"/>
      <c r="CU17" s="89"/>
      <c r="CV17" s="89"/>
      <c r="CW17" s="89"/>
      <c r="CX17" s="89"/>
      <c r="CY17" s="89"/>
      <c r="CZ17" s="89"/>
      <c r="DA17" s="89"/>
      <c r="DB17" s="89"/>
      <c r="DC17" s="89"/>
      <c r="DD17" s="89"/>
      <c r="DE17" s="89"/>
      <c r="DF17" s="89"/>
      <c r="DG17" s="99">
        <f>SUMIFS('Media Operador x Criterio'!E:E,'Media Operador x Criterio'!F:F,'Report Fechamento'!D17,'Media Operador x Criterio'!B:B,'Report Fechamento'!$CE$5)</f>
        <v>1</v>
      </c>
      <c r="DH17" s="100"/>
      <c r="DI17" s="100"/>
      <c r="DJ17" s="100"/>
      <c r="DK17" s="100"/>
      <c r="DL17" s="100"/>
      <c r="DM17" s="100"/>
      <c r="DN17" s="100"/>
      <c r="DO17" s="100"/>
      <c r="DP17" s="101"/>
    </row>
    <row r="18" spans="4:120" ht="17.25" customHeight="1"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89"/>
      <c r="CD18" s="89"/>
      <c r="CE18" s="89"/>
      <c r="CF18" s="89"/>
      <c r="CG18" s="89"/>
      <c r="CH18" s="89"/>
      <c r="CI18" s="89"/>
      <c r="CJ18" s="89"/>
      <c r="CK18" s="89"/>
      <c r="CL18" s="89"/>
      <c r="CM18" s="89"/>
      <c r="CN18" s="89"/>
      <c r="CO18" s="89"/>
      <c r="CP18" s="89"/>
      <c r="CQ18" s="89"/>
      <c r="CR18" s="89"/>
      <c r="CS18" s="89"/>
      <c r="CT18" s="89"/>
      <c r="CU18" s="89"/>
      <c r="CV18" s="89"/>
      <c r="CW18" s="89"/>
      <c r="CX18" s="89"/>
      <c r="CY18" s="89"/>
      <c r="CZ18" s="89"/>
      <c r="DA18" s="89"/>
      <c r="DB18" s="89"/>
      <c r="DC18" s="89"/>
      <c r="DD18" s="89"/>
      <c r="DE18" s="89"/>
      <c r="DF18" s="89"/>
      <c r="DG18" s="102">
        <f>DG17*2</f>
        <v>2</v>
      </c>
      <c r="DH18" s="103"/>
      <c r="DI18" s="103"/>
      <c r="DJ18" s="103"/>
      <c r="DK18" s="103"/>
      <c r="DL18" s="103"/>
      <c r="DM18" s="103"/>
      <c r="DN18" s="103"/>
      <c r="DO18" s="103"/>
      <c r="DP18" s="104"/>
    </row>
    <row r="19" spans="4:120" ht="17.25" customHeight="1">
      <c r="D19" s="33" t="str">
        <f>AuxCriterios!D6</f>
        <v>Responde aos problemas dos clientes de forma rápida e eficiente, sem demora desnecessária.</v>
      </c>
      <c r="E19" s="90" t="str">
        <f>AuxCriterios!C6</f>
        <v>Responde aos problemas dos clientes de forma rápida e eficiente, sem demora desnecessária.</v>
      </c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2"/>
      <c r="DG19" s="99">
        <f>SUMIFS('Media Operador x Criterio'!E:E,'Media Operador x Criterio'!F:F,'Report Fechamento'!D19,'Media Operador x Criterio'!B:B,'Report Fechamento'!$CE$5)</f>
        <v>0.90909090909090906</v>
      </c>
      <c r="DH19" s="100"/>
      <c r="DI19" s="100"/>
      <c r="DJ19" s="100"/>
      <c r="DK19" s="100"/>
      <c r="DL19" s="100"/>
      <c r="DM19" s="100"/>
      <c r="DN19" s="100"/>
      <c r="DO19" s="100"/>
      <c r="DP19" s="101"/>
    </row>
    <row r="20" spans="4:120" ht="17.25" customHeight="1">
      <c r="D20" s="33"/>
      <c r="E20" s="93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  <c r="CZ20" s="94"/>
      <c r="DA20" s="94"/>
      <c r="DB20" s="94"/>
      <c r="DC20" s="94"/>
      <c r="DD20" s="94"/>
      <c r="DE20" s="94"/>
      <c r="DF20" s="95"/>
      <c r="DG20" s="102">
        <f>DG19*2</f>
        <v>1.8181818181818181</v>
      </c>
      <c r="DH20" s="103"/>
      <c r="DI20" s="103"/>
      <c r="DJ20" s="103"/>
      <c r="DK20" s="103"/>
      <c r="DL20" s="103"/>
      <c r="DM20" s="103"/>
      <c r="DN20" s="103"/>
      <c r="DO20" s="103"/>
      <c r="DP20" s="104"/>
    </row>
    <row r="21" spans="4:120" ht="17.25" customHeight="1">
      <c r="D21" s="33" t="str">
        <f>AuxCriterios!D7</f>
        <v>Tem atitudes proativas.</v>
      </c>
      <c r="E21" s="89" t="str">
        <f>AuxCriterios!C7</f>
        <v>Tem atitudes proativas.</v>
      </c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89"/>
      <c r="BH21" s="89"/>
      <c r="BI21" s="89"/>
      <c r="BJ21" s="89"/>
      <c r="BK21" s="89"/>
      <c r="BL21" s="89"/>
      <c r="BM21" s="89"/>
      <c r="BN21" s="89"/>
      <c r="BO21" s="89"/>
      <c r="BP21" s="89"/>
      <c r="BQ21" s="89"/>
      <c r="BR21" s="89"/>
      <c r="BS21" s="89"/>
      <c r="BT21" s="89"/>
      <c r="BU21" s="89"/>
      <c r="BV21" s="89"/>
      <c r="BW21" s="89"/>
      <c r="BX21" s="89"/>
      <c r="BY21" s="89"/>
      <c r="BZ21" s="89"/>
      <c r="CA21" s="89"/>
      <c r="CB21" s="89"/>
      <c r="CC21" s="89"/>
      <c r="CD21" s="89"/>
      <c r="CE21" s="89"/>
      <c r="CF21" s="89"/>
      <c r="CG21" s="89"/>
      <c r="CH21" s="89"/>
      <c r="CI21" s="89"/>
      <c r="CJ21" s="89"/>
      <c r="CK21" s="89"/>
      <c r="CL21" s="89"/>
      <c r="CM21" s="89"/>
      <c r="CN21" s="89"/>
      <c r="CO21" s="89"/>
      <c r="CP21" s="89"/>
      <c r="CQ21" s="89"/>
      <c r="CR21" s="89"/>
      <c r="CS21" s="89"/>
      <c r="CT21" s="89"/>
      <c r="CU21" s="89"/>
      <c r="CV21" s="89"/>
      <c r="CW21" s="89"/>
      <c r="CX21" s="89"/>
      <c r="CY21" s="89"/>
      <c r="CZ21" s="89"/>
      <c r="DA21" s="89"/>
      <c r="DB21" s="89"/>
      <c r="DC21" s="89"/>
      <c r="DD21" s="89"/>
      <c r="DE21" s="89"/>
      <c r="DF21" s="89"/>
      <c r="DG21" s="99">
        <f>SUMIFS('Media Operador x Criterio'!E:E,'Media Operador x Criterio'!F:F,'Report Fechamento'!D21,'Media Operador x Criterio'!B:B,'Report Fechamento'!$CE$5)</f>
        <v>0.86363636363636365</v>
      </c>
      <c r="DH21" s="100"/>
      <c r="DI21" s="100"/>
      <c r="DJ21" s="100"/>
      <c r="DK21" s="100"/>
      <c r="DL21" s="100"/>
      <c r="DM21" s="100"/>
      <c r="DN21" s="100"/>
      <c r="DO21" s="100"/>
      <c r="DP21" s="101"/>
    </row>
    <row r="22" spans="4:120" ht="17.25" customHeight="1">
      <c r="D22" s="33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89"/>
      <c r="BZ22" s="89"/>
      <c r="CA22" s="89"/>
      <c r="CB22" s="89"/>
      <c r="CC22" s="89"/>
      <c r="CD22" s="89"/>
      <c r="CE22" s="89"/>
      <c r="CF22" s="89"/>
      <c r="CG22" s="89"/>
      <c r="CH22" s="89"/>
      <c r="CI22" s="89"/>
      <c r="CJ22" s="89"/>
      <c r="CK22" s="89"/>
      <c r="CL22" s="89"/>
      <c r="CM22" s="89"/>
      <c r="CN22" s="89"/>
      <c r="CO22" s="89"/>
      <c r="CP22" s="89"/>
      <c r="CQ22" s="89"/>
      <c r="CR22" s="89"/>
      <c r="CS22" s="89"/>
      <c r="CT22" s="89"/>
      <c r="CU22" s="89"/>
      <c r="CV22" s="89"/>
      <c r="CW22" s="89"/>
      <c r="CX22" s="89"/>
      <c r="CY22" s="89"/>
      <c r="CZ22" s="89"/>
      <c r="DA22" s="89"/>
      <c r="DB22" s="89"/>
      <c r="DC22" s="89"/>
      <c r="DD22" s="89"/>
      <c r="DE22" s="89"/>
      <c r="DF22" s="89"/>
      <c r="DG22" s="102">
        <f>DG21*2</f>
        <v>1.7272727272727273</v>
      </c>
      <c r="DH22" s="103"/>
      <c r="DI22" s="103"/>
      <c r="DJ22" s="103"/>
      <c r="DK22" s="103"/>
      <c r="DL22" s="103"/>
      <c r="DM22" s="103"/>
      <c r="DN22" s="103"/>
      <c r="DO22" s="103"/>
      <c r="DP22" s="104"/>
    </row>
    <row r="23" spans="4:120" ht="17.25" customHeight="1">
      <c r="D23" s="33" t="str">
        <f>AuxCriterios!D8</f>
        <v>Trata a todos com respeito, simpatia, presteza e educação, independentemente da hierarquia e do públ</v>
      </c>
      <c r="E23" s="89" t="str">
        <f>AuxCriterios!C8</f>
        <v>Trata a todos com respeito, simpatia, presteza e educação, independentemente da hierarquia e do público, buscando um clima de harmonia, confiança e cooperação. Demonstra paciência e capacidade de conviver com diferenças (ritmo, estilo, pensamentos, etc). Tem habilidade para dizer “o que precisa ser dito”.</v>
      </c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  <c r="BT23" s="89"/>
      <c r="BU23" s="89"/>
      <c r="BV23" s="89"/>
      <c r="BW23" s="89"/>
      <c r="BX23" s="89"/>
      <c r="BY23" s="89"/>
      <c r="BZ23" s="89"/>
      <c r="CA23" s="89"/>
      <c r="CB23" s="89"/>
      <c r="CC23" s="89"/>
      <c r="CD23" s="89"/>
      <c r="CE23" s="89"/>
      <c r="CF23" s="89"/>
      <c r="CG23" s="89"/>
      <c r="CH23" s="89"/>
      <c r="CI23" s="89"/>
      <c r="CJ23" s="89"/>
      <c r="CK23" s="89"/>
      <c r="CL23" s="89"/>
      <c r="CM23" s="89"/>
      <c r="CN23" s="89"/>
      <c r="CO23" s="89"/>
      <c r="CP23" s="89"/>
      <c r="CQ23" s="89"/>
      <c r="CR23" s="89"/>
      <c r="CS23" s="89"/>
      <c r="CT23" s="89"/>
      <c r="CU23" s="89"/>
      <c r="CV23" s="89"/>
      <c r="CW23" s="89"/>
      <c r="CX23" s="89"/>
      <c r="CY23" s="89"/>
      <c r="CZ23" s="89"/>
      <c r="DA23" s="89"/>
      <c r="DB23" s="89"/>
      <c r="DC23" s="89"/>
      <c r="DD23" s="89"/>
      <c r="DE23" s="89"/>
      <c r="DF23" s="89"/>
      <c r="DG23" s="99">
        <f>SUMIFS('Media Operador x Criterio'!E:E,'Media Operador x Criterio'!F:F,'Report Fechamento'!D23,'Media Operador x Criterio'!B:B,'Report Fechamento'!$CE$5)</f>
        <v>1</v>
      </c>
      <c r="DH23" s="100"/>
      <c r="DI23" s="100"/>
      <c r="DJ23" s="100"/>
      <c r="DK23" s="100"/>
      <c r="DL23" s="100"/>
      <c r="DM23" s="100"/>
      <c r="DN23" s="100"/>
      <c r="DO23" s="100"/>
      <c r="DP23" s="101"/>
    </row>
    <row r="24" spans="4:120" ht="17.25" customHeight="1">
      <c r="D24" s="33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89"/>
      <c r="BH24" s="89"/>
      <c r="BI24" s="89"/>
      <c r="BJ24" s="89"/>
      <c r="BK24" s="89"/>
      <c r="BL24" s="89"/>
      <c r="BM24" s="89"/>
      <c r="BN24" s="89"/>
      <c r="BO24" s="89"/>
      <c r="BP24" s="89"/>
      <c r="BQ24" s="89"/>
      <c r="BR24" s="89"/>
      <c r="BS24" s="89"/>
      <c r="BT24" s="89"/>
      <c r="BU24" s="89"/>
      <c r="BV24" s="89"/>
      <c r="BW24" s="89"/>
      <c r="BX24" s="89"/>
      <c r="BY24" s="89"/>
      <c r="BZ24" s="89"/>
      <c r="CA24" s="89"/>
      <c r="CB24" s="89"/>
      <c r="CC24" s="89"/>
      <c r="CD24" s="89"/>
      <c r="CE24" s="89"/>
      <c r="CF24" s="89"/>
      <c r="CG24" s="89"/>
      <c r="CH24" s="89"/>
      <c r="CI24" s="89"/>
      <c r="CJ24" s="89"/>
      <c r="CK24" s="89"/>
      <c r="CL24" s="89"/>
      <c r="CM24" s="89"/>
      <c r="CN24" s="89"/>
      <c r="CO24" s="89"/>
      <c r="CP24" s="89"/>
      <c r="CQ24" s="89"/>
      <c r="CR24" s="89"/>
      <c r="CS24" s="89"/>
      <c r="CT24" s="89"/>
      <c r="CU24" s="89"/>
      <c r="CV24" s="89"/>
      <c r="CW24" s="89"/>
      <c r="CX24" s="89"/>
      <c r="CY24" s="89"/>
      <c r="CZ24" s="89"/>
      <c r="DA24" s="89"/>
      <c r="DB24" s="89"/>
      <c r="DC24" s="89"/>
      <c r="DD24" s="89"/>
      <c r="DE24" s="89"/>
      <c r="DF24" s="89"/>
      <c r="DG24" s="102">
        <f>DG23*2</f>
        <v>2</v>
      </c>
      <c r="DH24" s="103"/>
      <c r="DI24" s="103"/>
      <c r="DJ24" s="103"/>
      <c r="DK24" s="103"/>
      <c r="DL24" s="103"/>
      <c r="DM24" s="103"/>
      <c r="DN24" s="103"/>
      <c r="DO24" s="103"/>
      <c r="DP24" s="104"/>
    </row>
    <row r="25" spans="4:120" ht="17.25" customHeight="1">
      <c r="D25" s="33" t="str">
        <f>AuxCriterios!D9</f>
        <v>Mantém unido(a) e alinhado(a) em relação aos objetivos e metas comuns da equipe .</v>
      </c>
      <c r="E25" s="89" t="str">
        <f>AuxCriterios!C9</f>
        <v>Mantém unido(a) e alinhado(a) em relação aos objetivos e metas comuns da equipe .</v>
      </c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89"/>
      <c r="BH25" s="89"/>
      <c r="BI25" s="89"/>
      <c r="BJ25" s="89"/>
      <c r="BK25" s="89"/>
      <c r="BL25" s="89"/>
      <c r="BM25" s="89"/>
      <c r="BN25" s="89"/>
      <c r="BO25" s="89"/>
      <c r="BP25" s="89"/>
      <c r="BQ25" s="89"/>
      <c r="BR25" s="89"/>
      <c r="BS25" s="89"/>
      <c r="BT25" s="89"/>
      <c r="BU25" s="89"/>
      <c r="BV25" s="89"/>
      <c r="BW25" s="89"/>
      <c r="BX25" s="89"/>
      <c r="BY25" s="89"/>
      <c r="BZ25" s="89"/>
      <c r="CA25" s="89"/>
      <c r="CB25" s="89"/>
      <c r="CC25" s="89"/>
      <c r="CD25" s="89"/>
      <c r="CE25" s="89"/>
      <c r="CF25" s="89"/>
      <c r="CG25" s="89"/>
      <c r="CH25" s="89"/>
      <c r="CI25" s="89"/>
      <c r="CJ25" s="89"/>
      <c r="CK25" s="89"/>
      <c r="CL25" s="89"/>
      <c r="CM25" s="89"/>
      <c r="CN25" s="89"/>
      <c r="CO25" s="89"/>
      <c r="CP25" s="89"/>
      <c r="CQ25" s="89"/>
      <c r="CR25" s="89"/>
      <c r="CS25" s="89"/>
      <c r="CT25" s="89"/>
      <c r="CU25" s="89"/>
      <c r="CV25" s="89"/>
      <c r="CW25" s="89"/>
      <c r="CX25" s="89"/>
      <c r="CY25" s="89"/>
      <c r="CZ25" s="89"/>
      <c r="DA25" s="89"/>
      <c r="DB25" s="89"/>
      <c r="DC25" s="89"/>
      <c r="DD25" s="89"/>
      <c r="DE25" s="89"/>
      <c r="DF25" s="89"/>
      <c r="DG25" s="99">
        <f>SUMIFS('Media Operador x Criterio'!E:E,'Media Operador x Criterio'!F:F,'Report Fechamento'!D25,'Media Operador x Criterio'!B:B,'Report Fechamento'!$CE$5)</f>
        <v>0.95454545454545459</v>
      </c>
      <c r="DH25" s="100"/>
      <c r="DI25" s="100"/>
      <c r="DJ25" s="100"/>
      <c r="DK25" s="100"/>
      <c r="DL25" s="100"/>
      <c r="DM25" s="100"/>
      <c r="DN25" s="100"/>
      <c r="DO25" s="100"/>
      <c r="DP25" s="101"/>
    </row>
    <row r="26" spans="4:120" ht="17.25" customHeight="1">
      <c r="D26" s="33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  <c r="BT26" s="89"/>
      <c r="BU26" s="89"/>
      <c r="BV26" s="89"/>
      <c r="BW26" s="89"/>
      <c r="BX26" s="89"/>
      <c r="BY26" s="89"/>
      <c r="BZ26" s="89"/>
      <c r="CA26" s="89"/>
      <c r="CB26" s="89"/>
      <c r="CC26" s="89"/>
      <c r="CD26" s="89"/>
      <c r="CE26" s="89"/>
      <c r="CF26" s="89"/>
      <c r="CG26" s="89"/>
      <c r="CH26" s="89"/>
      <c r="CI26" s="89"/>
      <c r="CJ26" s="89"/>
      <c r="CK26" s="89"/>
      <c r="CL26" s="89"/>
      <c r="CM26" s="89"/>
      <c r="CN26" s="89"/>
      <c r="CO26" s="89"/>
      <c r="CP26" s="89"/>
      <c r="CQ26" s="89"/>
      <c r="CR26" s="89"/>
      <c r="CS26" s="89"/>
      <c r="CT26" s="89"/>
      <c r="CU26" s="89"/>
      <c r="CV26" s="89"/>
      <c r="CW26" s="89"/>
      <c r="CX26" s="89"/>
      <c r="CY26" s="89"/>
      <c r="CZ26" s="89"/>
      <c r="DA26" s="89"/>
      <c r="DB26" s="89"/>
      <c r="DC26" s="89"/>
      <c r="DD26" s="89"/>
      <c r="DE26" s="89"/>
      <c r="DF26" s="89"/>
      <c r="DG26" s="102">
        <f>DG25*2</f>
        <v>1.9090909090909092</v>
      </c>
      <c r="DH26" s="103"/>
      <c r="DI26" s="103"/>
      <c r="DJ26" s="103"/>
      <c r="DK26" s="103"/>
      <c r="DL26" s="103"/>
      <c r="DM26" s="103"/>
      <c r="DN26" s="103"/>
      <c r="DO26" s="103"/>
      <c r="DP26" s="104"/>
    </row>
    <row r="27" spans="4:120" ht="17.25" customHeight="1">
      <c r="D27" s="33" t="str">
        <f>AuxCriterios!D10</f>
        <v>É responsável, priorizando os atendimentos a serem realizados, não utilizando de forma indevida seu</v>
      </c>
      <c r="E27" s="89" t="str">
        <f>AuxCriterios!C10</f>
        <v>É responsável, priorizando os atendimentos a serem realizados, não utilizando de forma indevida seu horário de trabalho.</v>
      </c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89"/>
      <c r="CH27" s="89"/>
      <c r="CI27" s="89"/>
      <c r="CJ27" s="89"/>
      <c r="CK27" s="89"/>
      <c r="CL27" s="89"/>
      <c r="CM27" s="89"/>
      <c r="CN27" s="89"/>
      <c r="CO27" s="89"/>
      <c r="CP27" s="89"/>
      <c r="CQ27" s="89"/>
      <c r="CR27" s="89"/>
      <c r="CS27" s="89"/>
      <c r="CT27" s="89"/>
      <c r="CU27" s="89"/>
      <c r="CV27" s="89"/>
      <c r="CW27" s="89"/>
      <c r="CX27" s="89"/>
      <c r="CY27" s="89"/>
      <c r="CZ27" s="89"/>
      <c r="DA27" s="89"/>
      <c r="DB27" s="89"/>
      <c r="DC27" s="89"/>
      <c r="DD27" s="89"/>
      <c r="DE27" s="89"/>
      <c r="DF27" s="89"/>
      <c r="DG27" s="99">
        <f>SUMIFS('Media Operador x Criterio'!E:E,'Media Operador x Criterio'!F:F,'Report Fechamento'!D27,'Media Operador x Criterio'!B:B,'Report Fechamento'!$CE$5)</f>
        <v>0.95454545454545459</v>
      </c>
      <c r="DH27" s="100"/>
      <c r="DI27" s="100"/>
      <c r="DJ27" s="100"/>
      <c r="DK27" s="100"/>
      <c r="DL27" s="100"/>
      <c r="DM27" s="100"/>
      <c r="DN27" s="100"/>
      <c r="DO27" s="100"/>
      <c r="DP27" s="101"/>
    </row>
    <row r="28" spans="4:120" ht="17.25" customHeight="1">
      <c r="D28" s="33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  <c r="BT28" s="89"/>
      <c r="BU28" s="89"/>
      <c r="BV28" s="89"/>
      <c r="BW28" s="89"/>
      <c r="BX28" s="89"/>
      <c r="BY28" s="89"/>
      <c r="BZ28" s="89"/>
      <c r="CA28" s="89"/>
      <c r="CB28" s="89"/>
      <c r="CC28" s="89"/>
      <c r="CD28" s="89"/>
      <c r="CE28" s="89"/>
      <c r="CF28" s="89"/>
      <c r="CG28" s="89"/>
      <c r="CH28" s="89"/>
      <c r="CI28" s="89"/>
      <c r="CJ28" s="89"/>
      <c r="CK28" s="89"/>
      <c r="CL28" s="89"/>
      <c r="CM28" s="89"/>
      <c r="CN28" s="89"/>
      <c r="CO28" s="89"/>
      <c r="CP28" s="89"/>
      <c r="CQ28" s="89"/>
      <c r="CR28" s="89"/>
      <c r="CS28" s="89"/>
      <c r="CT28" s="89"/>
      <c r="CU28" s="89"/>
      <c r="CV28" s="89"/>
      <c r="CW28" s="89"/>
      <c r="CX28" s="89"/>
      <c r="CY28" s="89"/>
      <c r="CZ28" s="89"/>
      <c r="DA28" s="89"/>
      <c r="DB28" s="89"/>
      <c r="DC28" s="89"/>
      <c r="DD28" s="89"/>
      <c r="DE28" s="89"/>
      <c r="DF28" s="89"/>
      <c r="DG28" s="102">
        <f>DG27*2</f>
        <v>1.9090909090909092</v>
      </c>
      <c r="DH28" s="103"/>
      <c r="DI28" s="103"/>
      <c r="DJ28" s="103"/>
      <c r="DK28" s="103"/>
      <c r="DL28" s="103"/>
      <c r="DM28" s="103"/>
      <c r="DN28" s="103"/>
      <c r="DO28" s="103"/>
      <c r="DP28" s="104"/>
    </row>
    <row r="29" spans="4:120" ht="17.25" customHeight="1">
      <c r="D29" s="33" t="str">
        <f>AuxCriterios!D11</f>
        <v>Tem iniciativa para buscar novos aprendizados, evoluir profissionalmente e encontrar soluções inovad</v>
      </c>
      <c r="E29" s="89" t="str">
        <f>AuxCriterios!C11</f>
        <v>Tem iniciativa para buscar novos aprendizados, evoluir profissionalmente e encontrar soluções inovadoras para os problemas do dia a dia.</v>
      </c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89"/>
      <c r="BH29" s="89"/>
      <c r="BI29" s="89"/>
      <c r="BJ29" s="89"/>
      <c r="BK29" s="89"/>
      <c r="BL29" s="89"/>
      <c r="BM29" s="89"/>
      <c r="BN29" s="89"/>
      <c r="BO29" s="89"/>
      <c r="BP29" s="89"/>
      <c r="BQ29" s="89"/>
      <c r="BR29" s="89"/>
      <c r="BS29" s="89"/>
      <c r="BT29" s="89"/>
      <c r="BU29" s="89"/>
      <c r="BV29" s="89"/>
      <c r="BW29" s="89"/>
      <c r="BX29" s="89"/>
      <c r="BY29" s="89"/>
      <c r="BZ29" s="89"/>
      <c r="CA29" s="89"/>
      <c r="CB29" s="89"/>
      <c r="CC29" s="89"/>
      <c r="CD29" s="89"/>
      <c r="CE29" s="89"/>
      <c r="CF29" s="89"/>
      <c r="CG29" s="89"/>
      <c r="CH29" s="89"/>
      <c r="CI29" s="89"/>
      <c r="CJ29" s="89"/>
      <c r="CK29" s="89"/>
      <c r="CL29" s="89"/>
      <c r="CM29" s="89"/>
      <c r="CN29" s="89"/>
      <c r="CO29" s="89"/>
      <c r="CP29" s="89"/>
      <c r="CQ29" s="89"/>
      <c r="CR29" s="89"/>
      <c r="CS29" s="89"/>
      <c r="CT29" s="89"/>
      <c r="CU29" s="89"/>
      <c r="CV29" s="89"/>
      <c r="CW29" s="89"/>
      <c r="CX29" s="89"/>
      <c r="CY29" s="89"/>
      <c r="CZ29" s="89"/>
      <c r="DA29" s="89"/>
      <c r="DB29" s="89"/>
      <c r="DC29" s="89"/>
      <c r="DD29" s="89"/>
      <c r="DE29" s="89"/>
      <c r="DF29" s="89"/>
      <c r="DG29" s="99">
        <f>SUMIFS('Media Operador x Criterio'!E:E,'Media Operador x Criterio'!F:F,'Report Fechamento'!D29,'Media Operador x Criterio'!B:B,'Report Fechamento'!$CE$5)</f>
        <v>0.95454545454545459</v>
      </c>
      <c r="DH29" s="100"/>
      <c r="DI29" s="100"/>
      <c r="DJ29" s="100"/>
      <c r="DK29" s="100"/>
      <c r="DL29" s="100"/>
      <c r="DM29" s="100"/>
      <c r="DN29" s="100"/>
      <c r="DO29" s="100"/>
      <c r="DP29" s="101"/>
    </row>
    <row r="30" spans="4:120" ht="17.25" customHeight="1">
      <c r="D30" s="33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BL30" s="89"/>
      <c r="BM30" s="89"/>
      <c r="BN30" s="89"/>
      <c r="BO30" s="89"/>
      <c r="BP30" s="89"/>
      <c r="BQ30" s="89"/>
      <c r="BR30" s="89"/>
      <c r="BS30" s="89"/>
      <c r="BT30" s="89"/>
      <c r="BU30" s="89"/>
      <c r="BV30" s="89"/>
      <c r="BW30" s="89"/>
      <c r="BX30" s="89"/>
      <c r="BY30" s="89"/>
      <c r="BZ30" s="89"/>
      <c r="CA30" s="89"/>
      <c r="CB30" s="89"/>
      <c r="CC30" s="89"/>
      <c r="CD30" s="89"/>
      <c r="CE30" s="89"/>
      <c r="CF30" s="89"/>
      <c r="CG30" s="89"/>
      <c r="CH30" s="89"/>
      <c r="CI30" s="89"/>
      <c r="CJ30" s="89"/>
      <c r="CK30" s="89"/>
      <c r="CL30" s="89"/>
      <c r="CM30" s="89"/>
      <c r="CN30" s="89"/>
      <c r="CO30" s="89"/>
      <c r="CP30" s="89"/>
      <c r="CQ30" s="89"/>
      <c r="CR30" s="89"/>
      <c r="CS30" s="89"/>
      <c r="CT30" s="89"/>
      <c r="CU30" s="89"/>
      <c r="CV30" s="89"/>
      <c r="CW30" s="89"/>
      <c r="CX30" s="89"/>
      <c r="CY30" s="89"/>
      <c r="CZ30" s="89"/>
      <c r="DA30" s="89"/>
      <c r="DB30" s="89"/>
      <c r="DC30" s="89"/>
      <c r="DD30" s="89"/>
      <c r="DE30" s="89"/>
      <c r="DF30" s="89"/>
      <c r="DG30" s="102">
        <f>DG29*2</f>
        <v>1.9090909090909092</v>
      </c>
      <c r="DH30" s="103"/>
      <c r="DI30" s="103"/>
      <c r="DJ30" s="103"/>
      <c r="DK30" s="103"/>
      <c r="DL30" s="103"/>
      <c r="DM30" s="103"/>
      <c r="DN30" s="103"/>
      <c r="DO30" s="103"/>
      <c r="DP30" s="104"/>
    </row>
    <row r="31" spans="4:120" ht="17.25" customHeight="1">
      <c r="D31" s="33" t="str">
        <f>AuxCriterios!D12</f>
        <v>Procura compreender os processos dos clientes em sua totalidade, se esforçando na resolução dos prob</v>
      </c>
      <c r="E31" s="89" t="str">
        <f>AuxCriterios!C12</f>
        <v>Procura compreender os processos dos clientes em sua totalidade, se esforçando na resolução dos problemas para que não haja a solicitação de auxilio dos colegas de forma indevida.</v>
      </c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BL31" s="89"/>
      <c r="BM31" s="89"/>
      <c r="BN31" s="89"/>
      <c r="BO31" s="89"/>
      <c r="BP31" s="89"/>
      <c r="BQ31" s="89"/>
      <c r="BR31" s="89"/>
      <c r="BS31" s="89"/>
      <c r="BT31" s="89"/>
      <c r="BU31" s="89"/>
      <c r="BV31" s="89"/>
      <c r="BW31" s="89"/>
      <c r="BX31" s="89"/>
      <c r="BY31" s="89"/>
      <c r="BZ31" s="89"/>
      <c r="CA31" s="89"/>
      <c r="CB31" s="89"/>
      <c r="CC31" s="89"/>
      <c r="CD31" s="89"/>
      <c r="CE31" s="89"/>
      <c r="CF31" s="89"/>
      <c r="CG31" s="89"/>
      <c r="CH31" s="89"/>
      <c r="CI31" s="89"/>
      <c r="CJ31" s="89"/>
      <c r="CK31" s="89"/>
      <c r="CL31" s="89"/>
      <c r="CM31" s="89"/>
      <c r="CN31" s="89"/>
      <c r="CO31" s="89"/>
      <c r="CP31" s="89"/>
      <c r="CQ31" s="89"/>
      <c r="CR31" s="89"/>
      <c r="CS31" s="89"/>
      <c r="CT31" s="89"/>
      <c r="CU31" s="89"/>
      <c r="CV31" s="89"/>
      <c r="CW31" s="89"/>
      <c r="CX31" s="89"/>
      <c r="CY31" s="89"/>
      <c r="CZ31" s="89"/>
      <c r="DA31" s="89"/>
      <c r="DB31" s="89"/>
      <c r="DC31" s="89"/>
      <c r="DD31" s="89"/>
      <c r="DE31" s="89"/>
      <c r="DF31" s="89"/>
      <c r="DG31" s="99">
        <f>SUMIFS('Media Operador x Criterio'!E:E,'Media Operador x Criterio'!F:F,'Report Fechamento'!D31,'Media Operador x Criterio'!B:B,'Report Fechamento'!$CE$5)</f>
        <v>0.95454545454545459</v>
      </c>
      <c r="DH31" s="100"/>
      <c r="DI31" s="100"/>
      <c r="DJ31" s="100"/>
      <c r="DK31" s="100"/>
      <c r="DL31" s="100"/>
      <c r="DM31" s="100"/>
      <c r="DN31" s="100"/>
      <c r="DO31" s="100"/>
      <c r="DP31" s="101"/>
    </row>
    <row r="32" spans="4:120" ht="17.25" customHeight="1">
      <c r="D32" s="33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89"/>
      <c r="BO32" s="89"/>
      <c r="BP32" s="89"/>
      <c r="BQ32" s="89"/>
      <c r="BR32" s="89"/>
      <c r="BS32" s="89"/>
      <c r="BT32" s="89"/>
      <c r="BU32" s="89"/>
      <c r="BV32" s="89"/>
      <c r="BW32" s="89"/>
      <c r="BX32" s="89"/>
      <c r="BY32" s="89"/>
      <c r="BZ32" s="89"/>
      <c r="CA32" s="89"/>
      <c r="CB32" s="89"/>
      <c r="CC32" s="89"/>
      <c r="CD32" s="89"/>
      <c r="CE32" s="89"/>
      <c r="CF32" s="89"/>
      <c r="CG32" s="89"/>
      <c r="CH32" s="89"/>
      <c r="CI32" s="89"/>
      <c r="CJ32" s="89"/>
      <c r="CK32" s="89"/>
      <c r="CL32" s="89"/>
      <c r="CM32" s="89"/>
      <c r="CN32" s="89"/>
      <c r="CO32" s="89"/>
      <c r="CP32" s="89"/>
      <c r="CQ32" s="89"/>
      <c r="CR32" s="89"/>
      <c r="CS32" s="89"/>
      <c r="CT32" s="89"/>
      <c r="CU32" s="89"/>
      <c r="CV32" s="89"/>
      <c r="CW32" s="89"/>
      <c r="CX32" s="89"/>
      <c r="CY32" s="89"/>
      <c r="CZ32" s="89"/>
      <c r="DA32" s="89"/>
      <c r="DB32" s="89"/>
      <c r="DC32" s="89"/>
      <c r="DD32" s="89"/>
      <c r="DE32" s="89"/>
      <c r="DF32" s="89"/>
      <c r="DG32" s="102">
        <f>DG31*2</f>
        <v>1.9090909090909092</v>
      </c>
      <c r="DH32" s="103"/>
      <c r="DI32" s="103"/>
      <c r="DJ32" s="103"/>
      <c r="DK32" s="103"/>
      <c r="DL32" s="103"/>
      <c r="DM32" s="103"/>
      <c r="DN32" s="103"/>
      <c r="DO32" s="103"/>
      <c r="DP32" s="104"/>
    </row>
    <row r="33" spans="3:122" ht="17.25" customHeight="1">
      <c r="D33" s="33" t="str">
        <f>AuxCriterios!D13</f>
        <v>Evita distrações excessivas com uso o pessoal de celular e redes sociais e outros tipos entretenimen</v>
      </c>
      <c r="E33" s="89" t="str">
        <f>AuxCriterios!C13</f>
        <v>Evita distrações excessivas com uso o pessoal de celular e redes sociais e outros tipos entretenimento durante o expediente.</v>
      </c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89"/>
      <c r="CD33" s="89"/>
      <c r="CE33" s="89"/>
      <c r="CF33" s="89"/>
      <c r="CG33" s="89"/>
      <c r="CH33" s="89"/>
      <c r="CI33" s="89"/>
      <c r="CJ33" s="89"/>
      <c r="CK33" s="89"/>
      <c r="CL33" s="89"/>
      <c r="CM33" s="89"/>
      <c r="CN33" s="89"/>
      <c r="CO33" s="89"/>
      <c r="CP33" s="89"/>
      <c r="CQ33" s="89"/>
      <c r="CR33" s="89"/>
      <c r="CS33" s="89"/>
      <c r="CT33" s="89"/>
      <c r="CU33" s="89"/>
      <c r="CV33" s="89"/>
      <c r="CW33" s="89"/>
      <c r="CX33" s="89"/>
      <c r="CY33" s="89"/>
      <c r="CZ33" s="89"/>
      <c r="DA33" s="89"/>
      <c r="DB33" s="89"/>
      <c r="DC33" s="89"/>
      <c r="DD33" s="89"/>
      <c r="DE33" s="89"/>
      <c r="DF33" s="89"/>
      <c r="DG33" s="99">
        <f>SUMIFS('Media Operador x Criterio'!E:E,'Media Operador x Criterio'!F:F,'Report Fechamento'!D33,'Media Operador x Criterio'!B:B,'Report Fechamento'!$CE$5)</f>
        <v>0.86363636363636365</v>
      </c>
      <c r="DH33" s="100"/>
      <c r="DI33" s="100"/>
      <c r="DJ33" s="100"/>
      <c r="DK33" s="100"/>
      <c r="DL33" s="100"/>
      <c r="DM33" s="100"/>
      <c r="DN33" s="100"/>
      <c r="DO33" s="100"/>
      <c r="DP33" s="101"/>
    </row>
    <row r="34" spans="3:122" ht="17.25" customHeight="1">
      <c r="D34" s="33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89"/>
      <c r="CD34" s="89"/>
      <c r="CE34" s="89"/>
      <c r="CF34" s="89"/>
      <c r="CG34" s="89"/>
      <c r="CH34" s="89"/>
      <c r="CI34" s="89"/>
      <c r="CJ34" s="89"/>
      <c r="CK34" s="89"/>
      <c r="CL34" s="89"/>
      <c r="CM34" s="89"/>
      <c r="CN34" s="89"/>
      <c r="CO34" s="89"/>
      <c r="CP34" s="89"/>
      <c r="CQ34" s="89"/>
      <c r="CR34" s="89"/>
      <c r="CS34" s="89"/>
      <c r="CT34" s="89"/>
      <c r="CU34" s="89"/>
      <c r="CV34" s="89"/>
      <c r="CW34" s="89"/>
      <c r="CX34" s="89"/>
      <c r="CY34" s="89"/>
      <c r="CZ34" s="89"/>
      <c r="DA34" s="89"/>
      <c r="DB34" s="89"/>
      <c r="DC34" s="89"/>
      <c r="DD34" s="89"/>
      <c r="DE34" s="89"/>
      <c r="DF34" s="89"/>
      <c r="DG34" s="102">
        <f>DG33*2</f>
        <v>1.7272727272727273</v>
      </c>
      <c r="DH34" s="103"/>
      <c r="DI34" s="103"/>
      <c r="DJ34" s="103"/>
      <c r="DK34" s="103"/>
      <c r="DL34" s="103"/>
      <c r="DM34" s="103"/>
      <c r="DN34" s="103"/>
      <c r="DO34" s="103"/>
      <c r="DP34" s="104"/>
    </row>
    <row r="35" spans="3:122" ht="17.25" customHeight="1">
      <c r="D35" s="33" t="str">
        <f>AuxCriterios!D14</f>
        <v>Trabalha em conjunto para encontrar soluções e compartilhar conhecimentos. .</v>
      </c>
      <c r="E35" s="89" t="str">
        <f>AuxCriterios!C14</f>
        <v>Trabalha em conjunto para encontrar soluções e compartilhar conhecimentos. .</v>
      </c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89"/>
      <c r="CD35" s="89"/>
      <c r="CE35" s="89"/>
      <c r="CF35" s="89"/>
      <c r="CG35" s="89"/>
      <c r="CH35" s="89"/>
      <c r="CI35" s="89"/>
      <c r="CJ35" s="89"/>
      <c r="CK35" s="89"/>
      <c r="CL35" s="89"/>
      <c r="CM35" s="89"/>
      <c r="CN35" s="89"/>
      <c r="CO35" s="89"/>
      <c r="CP35" s="89"/>
      <c r="CQ35" s="89"/>
      <c r="CR35" s="89"/>
      <c r="CS35" s="89"/>
      <c r="CT35" s="89"/>
      <c r="CU35" s="89"/>
      <c r="CV35" s="89"/>
      <c r="CW35" s="89"/>
      <c r="CX35" s="89"/>
      <c r="CY35" s="89"/>
      <c r="CZ35" s="89"/>
      <c r="DA35" s="89"/>
      <c r="DB35" s="89"/>
      <c r="DC35" s="89"/>
      <c r="DD35" s="89"/>
      <c r="DE35" s="89"/>
      <c r="DF35" s="89"/>
      <c r="DG35" s="99">
        <f>SUMIFS('Media Operador x Criterio'!E:E,'Media Operador x Criterio'!F:F,'Report Fechamento'!D35,'Media Operador x Criterio'!B:B,'Report Fechamento'!$CE$5)</f>
        <v>0.95454545454545459</v>
      </c>
      <c r="DH35" s="100"/>
      <c r="DI35" s="100"/>
      <c r="DJ35" s="100"/>
      <c r="DK35" s="100"/>
      <c r="DL35" s="100"/>
      <c r="DM35" s="100"/>
      <c r="DN35" s="100"/>
      <c r="DO35" s="100"/>
      <c r="DP35" s="101"/>
    </row>
    <row r="36" spans="3:122" ht="17.25" customHeight="1">
      <c r="D36" s="33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89"/>
      <c r="CD36" s="89"/>
      <c r="CE36" s="89"/>
      <c r="CF36" s="89"/>
      <c r="CG36" s="89"/>
      <c r="CH36" s="89"/>
      <c r="CI36" s="89"/>
      <c r="CJ36" s="89"/>
      <c r="CK36" s="89"/>
      <c r="CL36" s="89"/>
      <c r="CM36" s="89"/>
      <c r="CN36" s="89"/>
      <c r="CO36" s="89"/>
      <c r="CP36" s="89"/>
      <c r="CQ36" s="89"/>
      <c r="CR36" s="89"/>
      <c r="CS36" s="89"/>
      <c r="CT36" s="89"/>
      <c r="CU36" s="89"/>
      <c r="CV36" s="89"/>
      <c r="CW36" s="89"/>
      <c r="CX36" s="89"/>
      <c r="CY36" s="89"/>
      <c r="CZ36" s="89"/>
      <c r="DA36" s="89"/>
      <c r="DB36" s="89"/>
      <c r="DC36" s="89"/>
      <c r="DD36" s="89"/>
      <c r="DE36" s="89"/>
      <c r="DF36" s="89"/>
      <c r="DG36" s="102">
        <f>DG35*2</f>
        <v>1.9090909090909092</v>
      </c>
      <c r="DH36" s="103"/>
      <c r="DI36" s="103"/>
      <c r="DJ36" s="103"/>
      <c r="DK36" s="103"/>
      <c r="DL36" s="103"/>
      <c r="DM36" s="103"/>
      <c r="DN36" s="103"/>
      <c r="DO36" s="103"/>
      <c r="DP36" s="104"/>
    </row>
    <row r="37" spans="3:122"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26" t="s">
        <v>119</v>
      </c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150">
        <f>C3*DH6</f>
        <v>320</v>
      </c>
      <c r="BE37" s="150"/>
      <c r="BF37" s="150"/>
      <c r="BG37" s="150"/>
      <c r="BH37" s="150"/>
      <c r="BI37" s="150"/>
      <c r="BJ37" s="150"/>
      <c r="BK37" s="150"/>
      <c r="BL37" s="150"/>
      <c r="BM37" s="150"/>
      <c r="BN37" s="150"/>
      <c r="BO37" s="34"/>
      <c r="BP37" s="34"/>
      <c r="BQ37" s="26" t="s">
        <v>120</v>
      </c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148">
        <f>AVERAGE(DG11,DG13,DG15,DG17,DG19,DG21,DG23,DG25,DG27,DG29,DG31,DG33,DG35)</f>
        <v>0.94755244755244772</v>
      </c>
      <c r="CG37" s="149"/>
      <c r="CH37" s="149"/>
      <c r="CI37" s="149"/>
      <c r="CJ37" s="149"/>
      <c r="CK37" s="149"/>
      <c r="CL37" s="149"/>
      <c r="CM37" s="34"/>
      <c r="CN37" s="34"/>
      <c r="CO37" s="34" t="s">
        <v>121</v>
      </c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5"/>
      <c r="DE37" s="35"/>
      <c r="DF37" s="35"/>
      <c r="DG37" s="147">
        <f>CF37*BD37</f>
        <v>303.21678321678326</v>
      </c>
      <c r="DH37" s="147"/>
      <c r="DI37" s="147"/>
      <c r="DJ37" s="147"/>
      <c r="DK37" s="147"/>
      <c r="DL37" s="147"/>
      <c r="DM37" s="147"/>
      <c r="DN37" s="147"/>
      <c r="DO37" s="147"/>
      <c r="DP37" s="147"/>
    </row>
    <row r="38" spans="3:122" ht="8.1" customHeight="1"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4"/>
      <c r="BP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146"/>
      <c r="CG38" s="146"/>
      <c r="CH38" s="146"/>
      <c r="CI38" s="146"/>
      <c r="CJ38" s="146"/>
      <c r="CK38" s="146"/>
      <c r="CL38" s="146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5"/>
      <c r="DE38" s="35"/>
      <c r="DF38" s="35"/>
      <c r="DG38" s="36"/>
      <c r="DH38" s="36"/>
      <c r="DI38" s="36"/>
      <c r="DJ38" s="36"/>
      <c r="DK38" s="36"/>
      <c r="DL38" s="36"/>
      <c r="DM38" s="36"/>
      <c r="DN38" s="36"/>
      <c r="DO38" s="36"/>
      <c r="DP38" s="36"/>
    </row>
    <row r="39" spans="3:122" s="31" customFormat="1" ht="15" customHeight="1">
      <c r="C39" s="30"/>
      <c r="D39" s="30"/>
      <c r="E39" s="28"/>
      <c r="F39" s="28"/>
      <c r="G39" s="29" t="s">
        <v>122</v>
      </c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R39" s="54"/>
    </row>
    <row r="40" spans="3:122">
      <c r="E40" s="118" t="s">
        <v>2</v>
      </c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A40" s="118"/>
      <c r="DB40" s="118"/>
      <c r="DC40" s="118"/>
      <c r="DD40" s="118"/>
      <c r="DE40" s="118"/>
      <c r="DF40" s="118"/>
      <c r="DG40" s="118" t="s">
        <v>3</v>
      </c>
      <c r="DH40" s="118"/>
      <c r="DI40" s="118"/>
      <c r="DJ40" s="118"/>
      <c r="DK40" s="118"/>
      <c r="DL40" s="118"/>
      <c r="DM40" s="118"/>
      <c r="DN40" s="118"/>
      <c r="DO40" s="118"/>
      <c r="DP40" s="118"/>
    </row>
    <row r="41" spans="3:122" ht="15" customHeight="1">
      <c r="E41" s="89" t="s">
        <v>123</v>
      </c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L41" s="89"/>
      <c r="BM41" s="89"/>
      <c r="BN41" s="89"/>
      <c r="BO41" s="89"/>
      <c r="BP41" s="89"/>
      <c r="BQ41" s="89"/>
      <c r="BR41" s="89"/>
      <c r="BS41" s="89"/>
      <c r="BT41" s="89"/>
      <c r="BU41" s="89"/>
      <c r="BV41" s="89"/>
      <c r="BW41" s="89"/>
      <c r="BX41" s="89"/>
      <c r="BY41" s="89"/>
      <c r="BZ41" s="89"/>
      <c r="CA41" s="89"/>
      <c r="CB41" s="89"/>
      <c r="CC41" s="89"/>
      <c r="CD41" s="89"/>
      <c r="CE41" s="89"/>
      <c r="CF41" s="89"/>
      <c r="CG41" s="89"/>
      <c r="CH41" s="89"/>
      <c r="CI41" s="89"/>
      <c r="CJ41" s="89"/>
      <c r="CK41" s="89"/>
      <c r="CL41" s="89"/>
      <c r="CM41" s="89"/>
      <c r="CN41" s="89"/>
      <c r="CO41" s="89"/>
      <c r="CP41" s="89"/>
      <c r="CQ41" s="89"/>
      <c r="CR41" s="89"/>
      <c r="CS41" s="89"/>
      <c r="CT41" s="89"/>
      <c r="CU41" s="89"/>
      <c r="CV41" s="89"/>
      <c r="CW41" s="89"/>
      <c r="CX41" s="89"/>
      <c r="CY41" s="89"/>
      <c r="CZ41" s="89"/>
      <c r="DA41" s="89"/>
      <c r="DB41" s="89"/>
      <c r="DC41" s="89"/>
      <c r="DD41" s="89"/>
      <c r="DE41" s="89"/>
      <c r="DF41" s="89"/>
      <c r="DG41" s="112" t="str">
        <f>VLOOKUP(CE5,'Operador - Lançamentos Manuais'!B5:G18,3,FALSE)</f>
        <v>Ótimo / Excelente</v>
      </c>
      <c r="DH41" s="113"/>
      <c r="DI41" s="113"/>
      <c r="DJ41" s="113"/>
      <c r="DK41" s="113"/>
      <c r="DL41" s="113"/>
      <c r="DM41" s="113"/>
      <c r="DN41" s="113"/>
      <c r="DO41" s="113"/>
      <c r="DP41" s="114"/>
    </row>
    <row r="42" spans="3:122" ht="15" customHeight="1"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L42" s="89"/>
      <c r="BM42" s="89"/>
      <c r="BN42" s="89"/>
      <c r="BO42" s="89"/>
      <c r="BP42" s="89"/>
      <c r="BQ42" s="89"/>
      <c r="BR42" s="89"/>
      <c r="BS42" s="89"/>
      <c r="BT42" s="89"/>
      <c r="BU42" s="89"/>
      <c r="BV42" s="89"/>
      <c r="BW42" s="89"/>
      <c r="BX42" s="89"/>
      <c r="BY42" s="89"/>
      <c r="BZ42" s="89"/>
      <c r="CA42" s="89"/>
      <c r="CB42" s="89"/>
      <c r="CC42" s="89"/>
      <c r="CD42" s="89"/>
      <c r="CE42" s="89"/>
      <c r="CF42" s="89"/>
      <c r="CG42" s="89"/>
      <c r="CH42" s="89"/>
      <c r="CI42" s="89"/>
      <c r="CJ42" s="89"/>
      <c r="CK42" s="89"/>
      <c r="CL42" s="89"/>
      <c r="CM42" s="89"/>
      <c r="CN42" s="89"/>
      <c r="CO42" s="89"/>
      <c r="CP42" s="89"/>
      <c r="CQ42" s="89"/>
      <c r="CR42" s="89"/>
      <c r="CS42" s="89"/>
      <c r="CT42" s="89"/>
      <c r="CU42" s="89"/>
      <c r="CV42" s="89"/>
      <c r="CW42" s="89"/>
      <c r="CX42" s="89"/>
      <c r="CY42" s="89"/>
      <c r="CZ42" s="89"/>
      <c r="DA42" s="89"/>
      <c r="DB42" s="89"/>
      <c r="DC42" s="89"/>
      <c r="DD42" s="89"/>
      <c r="DE42" s="89"/>
      <c r="DF42" s="89"/>
      <c r="DG42" s="115"/>
      <c r="DH42" s="116"/>
      <c r="DI42" s="116"/>
      <c r="DJ42" s="116"/>
      <c r="DK42" s="116"/>
      <c r="DL42" s="116"/>
      <c r="DM42" s="116"/>
      <c r="DN42" s="116"/>
      <c r="DO42" s="116"/>
      <c r="DP42" s="117"/>
    </row>
    <row r="43" spans="3:122"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BK43" s="26" t="s">
        <v>119</v>
      </c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151">
        <f>IF(DH5="Inteira",C4,C4/2)</f>
        <v>100</v>
      </c>
      <c r="CC43" s="151"/>
      <c r="CD43" s="151"/>
      <c r="CE43" s="151"/>
      <c r="CF43" s="151"/>
      <c r="CG43" s="151"/>
      <c r="CH43" s="151"/>
      <c r="CI43" s="151"/>
      <c r="CJ43" s="151"/>
      <c r="CK43" s="151"/>
      <c r="CL43" s="151"/>
      <c r="CM43" s="34"/>
      <c r="CN43" s="34"/>
      <c r="CO43" s="34" t="s">
        <v>121</v>
      </c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5"/>
      <c r="DE43" s="35"/>
      <c r="DF43" s="35"/>
      <c r="DG43" s="147">
        <f>IF(DG41="Ótimo / Excelente",CB43,IF(DG41="Bom / Regular",CB43*0.5,0))</f>
        <v>100</v>
      </c>
      <c r="DH43" s="147"/>
      <c r="DI43" s="147"/>
      <c r="DJ43" s="147"/>
      <c r="DK43" s="147"/>
      <c r="DL43" s="147"/>
      <c r="DM43" s="147"/>
      <c r="DN43" s="147"/>
      <c r="DO43" s="147"/>
      <c r="DP43" s="147"/>
    </row>
    <row r="44" spans="3:122" ht="8.1" customHeight="1"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8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R44" s="40"/>
    </row>
    <row r="45" spans="3:122" ht="15.75">
      <c r="C45" s="41"/>
      <c r="D45" s="41"/>
      <c r="E45" s="41"/>
      <c r="F45" s="42"/>
      <c r="G45" s="42"/>
      <c r="H45" s="41"/>
      <c r="I45" s="41"/>
      <c r="J45" s="41"/>
      <c r="K45" s="41"/>
      <c r="L45" s="41"/>
      <c r="M45" s="41"/>
      <c r="N45" s="41"/>
      <c r="O45" s="41"/>
      <c r="P45" s="42" t="s">
        <v>124</v>
      </c>
      <c r="Q45" s="42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</row>
    <row r="46" spans="3:122"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133" t="s">
        <v>2</v>
      </c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 t="s">
        <v>13</v>
      </c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 t="s">
        <v>125</v>
      </c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3"/>
      <c r="CA46" s="133"/>
      <c r="CB46" s="134" t="s">
        <v>15</v>
      </c>
      <c r="CC46" s="134"/>
      <c r="CD46" s="134"/>
      <c r="CE46" s="134"/>
      <c r="CF46" s="134"/>
      <c r="CG46" s="134"/>
      <c r="CH46" s="134"/>
      <c r="CI46" s="134"/>
      <c r="CJ46" s="134"/>
      <c r="CK46" s="134"/>
      <c r="CL46" s="134"/>
      <c r="CM46" s="134"/>
      <c r="CN46" s="134"/>
      <c r="CO46" s="134"/>
      <c r="CP46" s="133" t="s">
        <v>126</v>
      </c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B46" s="133"/>
      <c r="DC46" s="133"/>
      <c r="DD46" s="133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</row>
    <row r="47" spans="3:122" ht="15" customHeight="1"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105" t="s">
        <v>127</v>
      </c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  <c r="AX47" s="106"/>
      <c r="AY47" s="106"/>
      <c r="AZ47" s="106"/>
      <c r="BA47" s="107"/>
      <c r="BB47" s="157">
        <v>0.1</v>
      </c>
      <c r="BC47" s="157"/>
      <c r="BD47" s="157"/>
      <c r="BE47" s="157"/>
      <c r="BF47" s="157"/>
      <c r="BG47" s="157"/>
      <c r="BH47" s="157"/>
      <c r="BI47" s="157"/>
      <c r="BJ47" s="157"/>
      <c r="BK47" s="157"/>
      <c r="BL47" s="157"/>
      <c r="BM47" s="157"/>
      <c r="BN47" s="157"/>
      <c r="BO47" s="156">
        <v>0.22739999999999999</v>
      </c>
      <c r="BP47" s="156"/>
      <c r="BQ47" s="156"/>
      <c r="BR47" s="156"/>
      <c r="BS47" s="156"/>
      <c r="BT47" s="156"/>
      <c r="BU47" s="156"/>
      <c r="BV47" s="156"/>
      <c r="BW47" s="156"/>
      <c r="BX47" s="156"/>
      <c r="BY47" s="156"/>
      <c r="BZ47" s="156"/>
      <c r="CA47" s="156"/>
      <c r="CB47" s="155">
        <f>C5*DH6</f>
        <v>140</v>
      </c>
      <c r="CC47" s="155"/>
      <c r="CD47" s="155"/>
      <c r="CE47" s="155"/>
      <c r="CF47" s="155"/>
      <c r="CG47" s="155"/>
      <c r="CH47" s="155"/>
      <c r="CI47" s="155"/>
      <c r="CJ47" s="155"/>
      <c r="CK47" s="155"/>
      <c r="CL47" s="155"/>
      <c r="CM47" s="155"/>
      <c r="CN47" s="155"/>
      <c r="CO47" s="155"/>
      <c r="CP47" s="141">
        <f>IF(BO47&lt;=BB47,CB47,CB47*(1-BO47))</f>
        <v>108.16399999999999</v>
      </c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2"/>
      <c r="DB47" s="142"/>
      <c r="DC47" s="142"/>
      <c r="DD47" s="143"/>
    </row>
    <row r="48" spans="3:122" ht="15" customHeight="1"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119" t="s">
        <v>18</v>
      </c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1"/>
      <c r="BB48" s="122">
        <v>190</v>
      </c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09">
        <v>179</v>
      </c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1"/>
      <c r="CB48" s="139">
        <f>C6*DH6</f>
        <v>110</v>
      </c>
      <c r="CC48" s="139"/>
      <c r="CD48" s="139"/>
      <c r="CE48" s="139"/>
      <c r="CF48" s="139"/>
      <c r="CG48" s="139"/>
      <c r="CH48" s="139"/>
      <c r="CI48" s="139"/>
      <c r="CJ48" s="139"/>
      <c r="CK48" s="139"/>
      <c r="CL48" s="139"/>
      <c r="CM48" s="139"/>
      <c r="CN48" s="139"/>
      <c r="CO48" s="139"/>
      <c r="CP48" s="139">
        <f>IF(BO48&gt;=BB48,CB48,(CB48*(BO48/BB48)))</f>
        <v>103.63157894736842</v>
      </c>
      <c r="CQ48" s="139"/>
      <c r="CR48" s="139"/>
      <c r="CS48" s="139"/>
      <c r="CT48" s="139"/>
      <c r="CU48" s="139"/>
      <c r="CV48" s="139"/>
      <c r="CW48" s="139"/>
      <c r="CX48" s="139"/>
      <c r="CY48" s="139"/>
      <c r="CZ48" s="139"/>
      <c r="DA48" s="139"/>
      <c r="DB48" s="139"/>
      <c r="DC48" s="139"/>
      <c r="DD48" s="139"/>
    </row>
    <row r="49" spans="5:122" ht="15" customHeight="1"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119" t="s">
        <v>128</v>
      </c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1"/>
      <c r="BB49" s="124">
        <v>0</v>
      </c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35">
        <f>VLOOKUP(CE5,'Operador - Lançamentos Manuais'!B5:G151,4,0)/BO48</f>
        <v>0</v>
      </c>
      <c r="BP49" s="136"/>
      <c r="BQ49" s="136"/>
      <c r="BR49" s="136"/>
      <c r="BS49" s="136"/>
      <c r="BT49" s="136"/>
      <c r="BU49" s="136"/>
      <c r="BV49" s="136"/>
      <c r="BW49" s="136"/>
      <c r="BX49" s="136"/>
      <c r="BY49" s="136"/>
      <c r="BZ49" s="136"/>
      <c r="CA49" s="136"/>
      <c r="CB49" s="139">
        <f>C7*DH6</f>
        <v>20</v>
      </c>
      <c r="CC49" s="139"/>
      <c r="CD49" s="139"/>
      <c r="CE49" s="139"/>
      <c r="CF49" s="139"/>
      <c r="CG49" s="139"/>
      <c r="CH49" s="139"/>
      <c r="CI49" s="139"/>
      <c r="CJ49" s="139"/>
      <c r="CK49" s="139"/>
      <c r="CL49" s="139"/>
      <c r="CM49" s="139"/>
      <c r="CN49" s="139"/>
      <c r="CO49" s="139"/>
      <c r="CP49" s="140">
        <v>20</v>
      </c>
      <c r="CQ49" s="140"/>
      <c r="CR49" s="140"/>
      <c r="CS49" s="140"/>
      <c r="CT49" s="140"/>
      <c r="CU49" s="140"/>
      <c r="CV49" s="140"/>
      <c r="CW49" s="140"/>
      <c r="CX49" s="140"/>
      <c r="CY49" s="140"/>
      <c r="CZ49" s="140"/>
      <c r="DA49" s="140"/>
      <c r="DB49" s="140"/>
      <c r="DC49" s="140"/>
      <c r="DD49" s="140"/>
    </row>
    <row r="50" spans="5:122" ht="15" customHeight="1">
      <c r="O50" s="119" t="s">
        <v>129</v>
      </c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1"/>
      <c r="BB50" s="108">
        <v>3.5000000000000003E-2</v>
      </c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37">
        <v>4.2799999999999998E-2</v>
      </c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9">
        <f>C8*DH6</f>
        <v>50</v>
      </c>
      <c r="CC50" s="139"/>
      <c r="CD50" s="139"/>
      <c r="CE50" s="139"/>
      <c r="CF50" s="139"/>
      <c r="CG50" s="139"/>
      <c r="CH50" s="139"/>
      <c r="CI50" s="139"/>
      <c r="CJ50" s="139"/>
      <c r="CK50" s="139"/>
      <c r="CL50" s="139"/>
      <c r="CM50" s="139"/>
      <c r="CN50" s="139"/>
      <c r="CO50" s="139"/>
      <c r="CP50" s="139">
        <f>IF(BO50&gt;=BB50,CB50,(BO50/BB50)*CB50)</f>
        <v>50</v>
      </c>
      <c r="CQ50" s="139"/>
      <c r="CR50" s="139"/>
      <c r="CS50" s="139"/>
      <c r="CT50" s="139"/>
      <c r="CU50" s="139"/>
      <c r="CV50" s="139"/>
      <c r="CW50" s="139"/>
      <c r="CX50" s="139"/>
      <c r="CY50" s="139"/>
      <c r="CZ50" s="139"/>
      <c r="DA50" s="139"/>
      <c r="DB50" s="139"/>
      <c r="DC50" s="139"/>
      <c r="DD50" s="139"/>
    </row>
    <row r="51" spans="5:122" ht="15" customHeight="1">
      <c r="O51" s="119" t="s">
        <v>130</v>
      </c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1"/>
      <c r="BB51" s="108">
        <v>0.02</v>
      </c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38">
        <f>VLOOKUP(CE5,'Operador - Lançamentos Manuais'!B5:G151,5,0)/BO48</f>
        <v>0</v>
      </c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9">
        <f>C9*DH6</f>
        <v>20</v>
      </c>
      <c r="CC51" s="139"/>
      <c r="CD51" s="139"/>
      <c r="CE51" s="139"/>
      <c r="CF51" s="139"/>
      <c r="CG51" s="139"/>
      <c r="CH51" s="139"/>
      <c r="CI51" s="139"/>
      <c r="CJ51" s="139"/>
      <c r="CK51" s="139"/>
      <c r="CL51" s="139"/>
      <c r="CM51" s="139"/>
      <c r="CN51" s="139"/>
      <c r="CO51" s="139"/>
      <c r="CP51" s="140">
        <f>CB51</f>
        <v>20</v>
      </c>
      <c r="CQ51" s="140"/>
      <c r="CR51" s="140"/>
      <c r="CS51" s="140"/>
      <c r="CT51" s="140"/>
      <c r="CU51" s="140"/>
      <c r="CV51" s="140"/>
      <c r="CW51" s="140"/>
      <c r="CX51" s="140"/>
      <c r="CY51" s="140"/>
      <c r="CZ51" s="140"/>
      <c r="DA51" s="140"/>
      <c r="DB51" s="140"/>
      <c r="DC51" s="140"/>
      <c r="DD51" s="140"/>
      <c r="DR51" s="40"/>
    </row>
    <row r="52" spans="5:122" ht="15" customHeight="1">
      <c r="O52" s="119" t="s">
        <v>131</v>
      </c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1"/>
      <c r="BB52" s="108">
        <v>0.03</v>
      </c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38">
        <f>VLOOKUP(CE5,'Operador - Lançamentos Manuais'!B5:G151,6,0)/BO48</f>
        <v>0</v>
      </c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9">
        <f>C10*DH6</f>
        <v>20</v>
      </c>
      <c r="CC52" s="139"/>
      <c r="CD52" s="139"/>
      <c r="CE52" s="139"/>
      <c r="CF52" s="139"/>
      <c r="CG52" s="139"/>
      <c r="CH52" s="139"/>
      <c r="CI52" s="139"/>
      <c r="CJ52" s="139"/>
      <c r="CK52" s="139"/>
      <c r="CL52" s="139"/>
      <c r="CM52" s="139"/>
      <c r="CN52" s="139"/>
      <c r="CO52" s="139"/>
      <c r="CP52" s="140">
        <f>CB52</f>
        <v>20</v>
      </c>
      <c r="CQ52" s="140"/>
      <c r="CR52" s="140"/>
      <c r="CS52" s="140"/>
      <c r="CT52" s="140"/>
      <c r="CU52" s="140"/>
      <c r="CV52" s="140"/>
      <c r="CW52" s="140"/>
      <c r="CX52" s="140"/>
      <c r="CY52" s="140"/>
      <c r="CZ52" s="140"/>
      <c r="DA52" s="140"/>
      <c r="DB52" s="140"/>
      <c r="DC52" s="140"/>
      <c r="DD52" s="140"/>
    </row>
    <row r="53" spans="5:122">
      <c r="AY53" s="43" t="s">
        <v>119</v>
      </c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145">
        <f>SUM(CB47:CO52)</f>
        <v>360</v>
      </c>
      <c r="BQ53" s="145"/>
      <c r="BR53" s="145"/>
      <c r="BS53" s="145"/>
      <c r="BT53" s="145"/>
      <c r="BU53" s="145"/>
      <c r="BV53" s="145"/>
      <c r="BW53" s="145"/>
      <c r="BX53" s="145"/>
      <c r="BY53" s="145"/>
      <c r="BZ53" s="145"/>
      <c r="CC53" s="34" t="s">
        <v>121</v>
      </c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5"/>
      <c r="CS53" s="35"/>
      <c r="CT53" s="35"/>
      <c r="CU53" s="144">
        <f>SUM(CP47:DD52)</f>
        <v>321.79557894736843</v>
      </c>
      <c r="CV53" s="144"/>
      <c r="CW53" s="144"/>
      <c r="CX53" s="144"/>
      <c r="CY53" s="144"/>
      <c r="CZ53" s="144"/>
      <c r="DA53" s="144"/>
      <c r="DB53" s="144"/>
      <c r="DC53" s="144"/>
      <c r="DD53" s="144"/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44"/>
    </row>
    <row r="54" spans="5:122" ht="8.1" customHeight="1"/>
    <row r="55" spans="5:122" ht="15.75">
      <c r="BU55" s="152" t="s">
        <v>132</v>
      </c>
      <c r="BV55" s="153"/>
      <c r="BW55" s="153"/>
      <c r="BX55" s="153"/>
      <c r="BY55" s="153"/>
      <c r="BZ55" s="153"/>
      <c r="CA55" s="153"/>
      <c r="CB55" s="153"/>
      <c r="CC55" s="153"/>
      <c r="CD55" s="153"/>
      <c r="CE55" s="153"/>
      <c r="CF55" s="153"/>
      <c r="CG55" s="153"/>
      <c r="CH55" s="153"/>
      <c r="CI55" s="153"/>
      <c r="CJ55" s="153"/>
      <c r="CK55" s="153"/>
      <c r="CL55" s="153"/>
      <c r="CM55" s="153"/>
      <c r="CN55" s="153"/>
      <c r="CO55" s="153"/>
      <c r="CP55" s="153"/>
      <c r="CQ55" s="153"/>
      <c r="CR55" s="153"/>
      <c r="CS55" s="153"/>
      <c r="CT55" s="153"/>
      <c r="CU55" s="153"/>
      <c r="CV55" s="153"/>
      <c r="CW55" s="153"/>
      <c r="CX55" s="153"/>
      <c r="CY55" s="153"/>
      <c r="CZ55" s="153"/>
      <c r="DA55" s="153"/>
      <c r="DB55" s="153"/>
      <c r="DC55" s="153"/>
      <c r="DD55" s="154"/>
    </row>
    <row r="56" spans="5:122" ht="15.75">
      <c r="BU56" s="125" t="s">
        <v>133</v>
      </c>
      <c r="BV56" s="126"/>
      <c r="BW56" s="126"/>
      <c r="BX56" s="126"/>
      <c r="BY56" s="126"/>
      <c r="BZ56" s="126"/>
      <c r="CA56" s="126"/>
      <c r="CB56" s="126"/>
      <c r="CC56" s="126"/>
      <c r="CD56" s="126"/>
      <c r="CE56" s="126"/>
      <c r="CF56" s="126"/>
      <c r="CG56" s="126"/>
      <c r="CH56" s="126"/>
      <c r="CI56" s="126"/>
      <c r="CJ56" s="126"/>
      <c r="CK56" s="126"/>
      <c r="CL56" s="126"/>
      <c r="CM56" s="126"/>
      <c r="CN56" s="126"/>
      <c r="CO56" s="127">
        <f>BP53+CB43+BD37</f>
        <v>780</v>
      </c>
      <c r="CP56" s="127"/>
      <c r="CQ56" s="127"/>
      <c r="CR56" s="127"/>
      <c r="CS56" s="127"/>
      <c r="CT56" s="127"/>
      <c r="CU56" s="127"/>
      <c r="CV56" s="127"/>
      <c r="CW56" s="127"/>
      <c r="CX56" s="127"/>
      <c r="CY56" s="127"/>
      <c r="CZ56" s="127"/>
      <c r="DA56" s="127"/>
      <c r="DB56" s="127"/>
      <c r="DC56" s="127"/>
      <c r="DD56" s="128"/>
    </row>
    <row r="57" spans="5:122" ht="18.75" customHeight="1">
      <c r="BU57" s="129" t="s">
        <v>134</v>
      </c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1">
        <f>CU53+DG43+DG37</f>
        <v>725.01236216415168</v>
      </c>
      <c r="CP57" s="131"/>
      <c r="CQ57" s="131"/>
      <c r="CR57" s="131"/>
      <c r="CS57" s="131"/>
      <c r="CT57" s="131"/>
      <c r="CU57" s="131"/>
      <c r="CV57" s="131"/>
      <c r="CW57" s="131"/>
      <c r="CX57" s="131"/>
      <c r="CY57" s="131"/>
      <c r="CZ57" s="131"/>
      <c r="DA57" s="131"/>
      <c r="DB57" s="131"/>
      <c r="DC57" s="131"/>
      <c r="DD57" s="132"/>
    </row>
    <row r="61" spans="5:122">
      <c r="O61" s="63"/>
    </row>
    <row r="62" spans="5:122" hidden="1">
      <c r="BJ62" s="26">
        <v>4</v>
      </c>
      <c r="BK62" s="26">
        <v>4</v>
      </c>
      <c r="BL62" s="26">
        <v>4</v>
      </c>
      <c r="BM62" s="26">
        <v>4</v>
      </c>
      <c r="BN62" s="26">
        <v>4</v>
      </c>
      <c r="BO62" s="26">
        <v>4</v>
      </c>
      <c r="BP62" s="26">
        <v>4</v>
      </c>
      <c r="BQ62" s="26">
        <v>4</v>
      </c>
      <c r="BR62" s="26">
        <v>4</v>
      </c>
      <c r="BS62" s="26">
        <v>4</v>
      </c>
      <c r="BT62" s="26">
        <v>4</v>
      </c>
      <c r="BU62" s="26">
        <v>4</v>
      </c>
      <c r="BV62" s="26">
        <v>4</v>
      </c>
      <c r="BW62" s="26">
        <v>4</v>
      </c>
      <c r="BX62" s="26">
        <v>4</v>
      </c>
      <c r="BY62" s="26">
        <v>4</v>
      </c>
      <c r="BZ62" s="26">
        <v>4</v>
      </c>
      <c r="CA62" s="26">
        <v>4</v>
      </c>
      <c r="CB62" s="26">
        <v>4</v>
      </c>
      <c r="CC62" s="26">
        <v>4</v>
      </c>
      <c r="CD62" s="26">
        <v>4</v>
      </c>
      <c r="CE62" s="26">
        <v>4</v>
      </c>
      <c r="CF62" s="26">
        <v>4</v>
      </c>
      <c r="CG62" s="26">
        <v>4</v>
      </c>
      <c r="CH62" s="26">
        <v>4</v>
      </c>
      <c r="CI62" s="26">
        <v>4</v>
      </c>
      <c r="CJ62" s="26">
        <v>4</v>
      </c>
      <c r="CK62" s="26">
        <v>4</v>
      </c>
      <c r="CL62" s="26">
        <v>4</v>
      </c>
      <c r="CM62" s="26">
        <v>4</v>
      </c>
      <c r="CN62" s="26">
        <v>4</v>
      </c>
      <c r="CO62" s="26">
        <v>4</v>
      </c>
      <c r="CP62" s="26">
        <v>4</v>
      </c>
      <c r="CQ62" s="26">
        <v>4</v>
      </c>
      <c r="CR62" s="26">
        <v>4</v>
      </c>
      <c r="CS62" s="26">
        <v>4</v>
      </c>
      <c r="CT62" s="26">
        <v>4</v>
      </c>
      <c r="CU62" s="26">
        <v>4</v>
      </c>
      <c r="CV62" s="26">
        <v>4</v>
      </c>
      <c r="CW62" s="26">
        <v>4</v>
      </c>
      <c r="CX62" s="26">
        <v>4</v>
      </c>
      <c r="CY62" s="26">
        <v>4</v>
      </c>
      <c r="CZ62" s="26">
        <v>4</v>
      </c>
      <c r="DA62" s="26">
        <v>4</v>
      </c>
      <c r="DB62" s="26">
        <v>4</v>
      </c>
      <c r="DC62" s="26">
        <v>4</v>
      </c>
      <c r="DD62" s="26">
        <v>4</v>
      </c>
      <c r="DE62" s="26">
        <v>4</v>
      </c>
      <c r="DF62" s="26">
        <v>4</v>
      </c>
      <c r="DG62" s="26">
        <v>4</v>
      </c>
      <c r="DH62" s="26">
        <v>4</v>
      </c>
      <c r="DI62" s="26">
        <v>4</v>
      </c>
      <c r="DJ62" s="26">
        <v>4</v>
      </c>
      <c r="DK62" s="26">
        <v>4</v>
      </c>
      <c r="DL62" s="26">
        <v>4</v>
      </c>
      <c r="DM62" s="26">
        <v>4</v>
      </c>
      <c r="DN62" s="26">
        <v>4</v>
      </c>
      <c r="DO62" s="26">
        <v>4</v>
      </c>
    </row>
    <row r="63" spans="5:122" hidden="1">
      <c r="BJ63" s="26">
        <v>4</v>
      </c>
      <c r="BK63" s="26">
        <v>4</v>
      </c>
      <c r="BL63" s="26">
        <v>4</v>
      </c>
      <c r="BM63" s="26">
        <v>4</v>
      </c>
      <c r="BN63" s="26">
        <v>4</v>
      </c>
      <c r="BO63" s="26">
        <v>4</v>
      </c>
      <c r="BP63" s="26">
        <v>4</v>
      </c>
      <c r="BQ63" s="26">
        <v>4</v>
      </c>
      <c r="BR63" s="26">
        <v>4</v>
      </c>
      <c r="BS63" s="26">
        <v>4</v>
      </c>
      <c r="BT63" s="26">
        <v>4</v>
      </c>
      <c r="BU63" s="26">
        <v>4</v>
      </c>
      <c r="BV63" s="26">
        <v>4</v>
      </c>
      <c r="BW63" s="26">
        <v>4</v>
      </c>
      <c r="BX63" s="26">
        <v>4</v>
      </c>
      <c r="BY63" s="26">
        <v>4</v>
      </c>
      <c r="BZ63" s="26">
        <v>4</v>
      </c>
      <c r="CA63" s="26">
        <v>4</v>
      </c>
      <c r="CB63" s="26">
        <v>4</v>
      </c>
      <c r="CC63" s="26">
        <v>4</v>
      </c>
      <c r="CD63" s="26">
        <v>4</v>
      </c>
      <c r="CE63" s="26">
        <v>4</v>
      </c>
      <c r="CF63" s="26">
        <v>4</v>
      </c>
      <c r="CG63" s="26">
        <v>4</v>
      </c>
      <c r="CH63" s="26">
        <v>4</v>
      </c>
      <c r="CI63" s="26">
        <v>4</v>
      </c>
      <c r="CJ63" s="26">
        <v>4</v>
      </c>
      <c r="CK63" s="26">
        <v>4</v>
      </c>
      <c r="CL63" s="26">
        <v>4</v>
      </c>
      <c r="CM63" s="26">
        <v>4</v>
      </c>
      <c r="CN63" s="26">
        <v>4</v>
      </c>
      <c r="CO63" s="26">
        <v>4</v>
      </c>
      <c r="CP63" s="26">
        <v>4</v>
      </c>
      <c r="CQ63" s="26">
        <v>4</v>
      </c>
      <c r="CR63" s="26">
        <v>4</v>
      </c>
      <c r="CS63" s="26">
        <v>4</v>
      </c>
      <c r="CT63" s="26">
        <v>4</v>
      </c>
      <c r="CU63" s="26">
        <v>4</v>
      </c>
      <c r="CV63" s="26">
        <v>4</v>
      </c>
      <c r="CW63" s="26">
        <v>4</v>
      </c>
      <c r="CX63" s="26">
        <v>4</v>
      </c>
      <c r="CY63" s="26">
        <v>4</v>
      </c>
      <c r="CZ63" s="26">
        <v>4</v>
      </c>
      <c r="DA63" s="26">
        <v>4</v>
      </c>
      <c r="DB63" s="26">
        <v>4</v>
      </c>
      <c r="DC63" s="26">
        <v>4</v>
      </c>
      <c r="DD63" s="26">
        <v>4</v>
      </c>
      <c r="DE63" s="26">
        <v>4</v>
      </c>
      <c r="DF63" s="26">
        <v>4</v>
      </c>
      <c r="DG63" s="26">
        <v>4</v>
      </c>
      <c r="DH63" s="26">
        <v>4</v>
      </c>
      <c r="DI63" s="26">
        <v>4</v>
      </c>
      <c r="DJ63" s="26">
        <v>4</v>
      </c>
      <c r="DK63" s="26">
        <v>4</v>
      </c>
      <c r="DL63" s="26">
        <v>4</v>
      </c>
      <c r="DM63" s="26">
        <v>4</v>
      </c>
      <c r="DN63" s="26">
        <v>4</v>
      </c>
      <c r="DO63" s="26">
        <v>4</v>
      </c>
    </row>
    <row r="64" spans="5:122" hidden="1">
      <c r="BJ64" s="26">
        <v>4</v>
      </c>
      <c r="BK64" s="26">
        <v>4</v>
      </c>
      <c r="BL64" s="26">
        <v>4</v>
      </c>
      <c r="BM64" s="26">
        <v>4</v>
      </c>
      <c r="BN64" s="26">
        <v>4</v>
      </c>
      <c r="BO64" s="26">
        <v>4</v>
      </c>
      <c r="BP64" s="26">
        <v>4</v>
      </c>
      <c r="BQ64" s="26">
        <v>4</v>
      </c>
      <c r="BR64" s="26">
        <v>4</v>
      </c>
      <c r="BS64" s="26">
        <v>4</v>
      </c>
      <c r="BT64" s="26">
        <v>4</v>
      </c>
      <c r="BU64" s="26">
        <v>4</v>
      </c>
      <c r="BV64" s="26">
        <v>4</v>
      </c>
      <c r="BW64" s="26">
        <v>4</v>
      </c>
      <c r="BX64" s="26">
        <v>4</v>
      </c>
      <c r="BY64" s="26">
        <v>4</v>
      </c>
      <c r="BZ64" s="26">
        <v>4</v>
      </c>
      <c r="CA64" s="26">
        <v>4</v>
      </c>
      <c r="CB64" s="26">
        <v>4</v>
      </c>
      <c r="CC64" s="26">
        <v>4</v>
      </c>
      <c r="CD64" s="26">
        <v>4</v>
      </c>
      <c r="CE64" s="26">
        <v>4</v>
      </c>
      <c r="CF64" s="26">
        <v>4</v>
      </c>
      <c r="CG64" s="26">
        <v>4</v>
      </c>
      <c r="CH64" s="26">
        <v>4</v>
      </c>
      <c r="CI64" s="26">
        <v>4</v>
      </c>
      <c r="CJ64" s="26">
        <v>4</v>
      </c>
      <c r="CK64" s="26">
        <v>4</v>
      </c>
      <c r="CL64" s="26">
        <v>4</v>
      </c>
      <c r="CM64" s="26">
        <v>4</v>
      </c>
      <c r="CN64" s="26">
        <v>4</v>
      </c>
      <c r="CO64" s="26">
        <v>4</v>
      </c>
      <c r="CP64" s="26">
        <v>4</v>
      </c>
      <c r="CQ64" s="26">
        <v>4</v>
      </c>
      <c r="CR64" s="26">
        <v>4</v>
      </c>
      <c r="CS64" s="26">
        <v>4</v>
      </c>
      <c r="CT64" s="26">
        <v>4</v>
      </c>
      <c r="CU64" s="26">
        <v>4</v>
      </c>
      <c r="CV64" s="26">
        <v>4</v>
      </c>
      <c r="CW64" s="26">
        <v>4</v>
      </c>
      <c r="CX64" s="26">
        <v>4</v>
      </c>
      <c r="CY64" s="26">
        <v>4</v>
      </c>
      <c r="CZ64" s="26">
        <v>4</v>
      </c>
      <c r="DA64" s="26">
        <v>4</v>
      </c>
      <c r="DB64" s="26">
        <v>4</v>
      </c>
      <c r="DC64" s="26">
        <v>4</v>
      </c>
      <c r="DD64" s="26">
        <v>4</v>
      </c>
      <c r="DE64" s="26">
        <v>4</v>
      </c>
      <c r="DF64" s="26">
        <v>4</v>
      </c>
      <c r="DG64" s="26">
        <v>4</v>
      </c>
      <c r="DH64" s="26">
        <v>4</v>
      </c>
      <c r="DI64" s="26">
        <v>4</v>
      </c>
      <c r="DJ64" s="26">
        <v>4</v>
      </c>
      <c r="DK64" s="26">
        <v>4</v>
      </c>
      <c r="DL64" s="26">
        <v>4</v>
      </c>
      <c r="DM64" s="26">
        <v>4</v>
      </c>
      <c r="DN64" s="26">
        <v>4</v>
      </c>
      <c r="DO64" s="26">
        <v>4</v>
      </c>
    </row>
    <row r="65" spans="62:119" hidden="1">
      <c r="BJ65" s="26">
        <v>4</v>
      </c>
      <c r="BK65" s="26">
        <v>4</v>
      </c>
      <c r="BL65" s="26">
        <v>4</v>
      </c>
      <c r="BM65" s="26">
        <v>4</v>
      </c>
      <c r="BN65" s="26">
        <v>4</v>
      </c>
      <c r="BO65" s="26">
        <v>4</v>
      </c>
      <c r="BP65" s="26">
        <v>4</v>
      </c>
      <c r="BQ65" s="26">
        <v>4</v>
      </c>
      <c r="BR65" s="26">
        <v>4</v>
      </c>
      <c r="BS65" s="26">
        <v>4</v>
      </c>
      <c r="BT65" s="26">
        <v>4</v>
      </c>
      <c r="BU65" s="26">
        <v>4</v>
      </c>
      <c r="BV65" s="26">
        <v>4</v>
      </c>
      <c r="BW65" s="26">
        <v>4</v>
      </c>
      <c r="BX65" s="26">
        <v>4</v>
      </c>
      <c r="BY65" s="26">
        <v>4</v>
      </c>
      <c r="BZ65" s="26">
        <v>4</v>
      </c>
      <c r="CA65" s="26">
        <v>4</v>
      </c>
      <c r="CB65" s="26">
        <v>4</v>
      </c>
      <c r="CC65" s="26">
        <v>4</v>
      </c>
      <c r="CD65" s="26">
        <v>4</v>
      </c>
      <c r="CE65" s="26">
        <v>4</v>
      </c>
      <c r="CF65" s="26">
        <v>4</v>
      </c>
      <c r="CG65" s="26">
        <v>4</v>
      </c>
      <c r="CH65" s="26">
        <v>4</v>
      </c>
      <c r="CI65" s="26">
        <v>4</v>
      </c>
      <c r="CJ65" s="26">
        <v>4</v>
      </c>
      <c r="CK65" s="26">
        <v>4</v>
      </c>
      <c r="CL65" s="26">
        <v>4</v>
      </c>
      <c r="CM65" s="26">
        <v>4</v>
      </c>
      <c r="CN65" s="26">
        <v>4</v>
      </c>
      <c r="CO65" s="26">
        <v>4</v>
      </c>
      <c r="CP65" s="26">
        <v>4</v>
      </c>
      <c r="CQ65" s="26">
        <v>4</v>
      </c>
      <c r="CR65" s="26">
        <v>4</v>
      </c>
      <c r="CS65" s="26">
        <v>4</v>
      </c>
      <c r="CT65" s="26">
        <v>4</v>
      </c>
      <c r="CU65" s="26">
        <v>4</v>
      </c>
      <c r="CV65" s="26">
        <v>4</v>
      </c>
      <c r="CW65" s="26">
        <v>4</v>
      </c>
      <c r="CX65" s="26">
        <v>4</v>
      </c>
      <c r="CY65" s="26">
        <v>4</v>
      </c>
      <c r="CZ65" s="26">
        <v>4</v>
      </c>
      <c r="DA65" s="26">
        <v>4</v>
      </c>
      <c r="DB65" s="26">
        <v>4</v>
      </c>
      <c r="DC65" s="26">
        <v>4</v>
      </c>
      <c r="DD65" s="26">
        <v>4</v>
      </c>
      <c r="DE65" s="26">
        <v>4</v>
      </c>
      <c r="DF65" s="26">
        <v>4</v>
      </c>
      <c r="DG65" s="26">
        <v>4</v>
      </c>
      <c r="DH65" s="26">
        <v>4</v>
      </c>
      <c r="DI65" s="26">
        <v>4</v>
      </c>
      <c r="DJ65" s="26">
        <v>4</v>
      </c>
      <c r="DK65" s="26">
        <v>4</v>
      </c>
      <c r="DL65" s="26">
        <v>4</v>
      </c>
      <c r="DM65" s="26">
        <v>4</v>
      </c>
      <c r="DN65" s="26">
        <v>4</v>
      </c>
      <c r="DO65" s="26">
        <v>4</v>
      </c>
    </row>
    <row r="66" spans="62:119" hidden="1">
      <c r="BJ66" s="26">
        <v>4</v>
      </c>
      <c r="BK66" s="26">
        <v>4</v>
      </c>
      <c r="BL66" s="26">
        <v>4</v>
      </c>
      <c r="BM66" s="26">
        <v>4</v>
      </c>
      <c r="BN66" s="26">
        <v>4</v>
      </c>
      <c r="BO66" s="26">
        <v>4</v>
      </c>
      <c r="BP66" s="26">
        <v>4</v>
      </c>
      <c r="BQ66" s="26">
        <v>4</v>
      </c>
      <c r="BR66" s="26">
        <v>4</v>
      </c>
      <c r="BS66" s="26">
        <v>4</v>
      </c>
      <c r="BT66" s="26">
        <v>4</v>
      </c>
      <c r="BU66" s="26">
        <v>4</v>
      </c>
      <c r="BV66" s="26">
        <v>4</v>
      </c>
      <c r="BW66" s="26">
        <v>4</v>
      </c>
      <c r="BX66" s="26">
        <v>4</v>
      </c>
      <c r="BY66" s="26">
        <v>4</v>
      </c>
      <c r="BZ66" s="26">
        <v>4</v>
      </c>
      <c r="CA66" s="26">
        <v>4</v>
      </c>
      <c r="CB66" s="26">
        <v>4</v>
      </c>
      <c r="CC66" s="26">
        <v>4</v>
      </c>
      <c r="CD66" s="26">
        <v>4</v>
      </c>
      <c r="CE66" s="26">
        <v>4</v>
      </c>
      <c r="CF66" s="26">
        <v>4</v>
      </c>
      <c r="CG66" s="26">
        <v>4</v>
      </c>
      <c r="CH66" s="26">
        <v>4</v>
      </c>
      <c r="CI66" s="26">
        <v>4</v>
      </c>
      <c r="CJ66" s="26">
        <v>4</v>
      </c>
      <c r="CK66" s="26">
        <v>4</v>
      </c>
      <c r="CL66" s="26">
        <v>4</v>
      </c>
      <c r="CM66" s="26">
        <v>4</v>
      </c>
      <c r="CN66" s="26">
        <v>4</v>
      </c>
      <c r="CO66" s="26">
        <v>4</v>
      </c>
      <c r="CP66" s="26">
        <v>4</v>
      </c>
      <c r="CQ66" s="26">
        <v>4</v>
      </c>
      <c r="CR66" s="26">
        <v>4</v>
      </c>
      <c r="CS66" s="26">
        <v>4</v>
      </c>
      <c r="CT66" s="26">
        <v>4</v>
      </c>
      <c r="CU66" s="26">
        <v>4</v>
      </c>
      <c r="CV66" s="26">
        <v>4</v>
      </c>
      <c r="CW66" s="26">
        <v>4</v>
      </c>
      <c r="CX66" s="26">
        <v>4</v>
      </c>
      <c r="CY66" s="26">
        <v>4</v>
      </c>
      <c r="CZ66" s="26">
        <v>4</v>
      </c>
      <c r="DA66" s="26">
        <v>4</v>
      </c>
      <c r="DB66" s="26">
        <v>4</v>
      </c>
      <c r="DC66" s="26">
        <v>4</v>
      </c>
      <c r="DD66" s="26">
        <v>4</v>
      </c>
      <c r="DE66" s="26">
        <v>4</v>
      </c>
      <c r="DF66" s="26">
        <v>4</v>
      </c>
      <c r="DG66" s="26">
        <v>4</v>
      </c>
      <c r="DH66" s="26">
        <v>4</v>
      </c>
      <c r="DI66" s="26">
        <v>4</v>
      </c>
      <c r="DJ66" s="26">
        <v>4</v>
      </c>
      <c r="DK66" s="26">
        <v>4</v>
      </c>
      <c r="DL66" s="26">
        <v>4</v>
      </c>
      <c r="DM66" s="26">
        <v>4</v>
      </c>
      <c r="DN66" s="26">
        <v>4</v>
      </c>
      <c r="DO66" s="26">
        <v>4</v>
      </c>
    </row>
    <row r="67" spans="62:119" hidden="1">
      <c r="BJ67" s="26">
        <v>4</v>
      </c>
      <c r="BK67" s="26">
        <v>4</v>
      </c>
      <c r="BL67" s="26">
        <v>4</v>
      </c>
      <c r="BM67" s="26">
        <v>4</v>
      </c>
      <c r="BN67" s="26">
        <v>4</v>
      </c>
      <c r="BO67" s="26">
        <v>4</v>
      </c>
      <c r="BP67" s="26">
        <v>4</v>
      </c>
      <c r="BQ67" s="26">
        <v>4</v>
      </c>
      <c r="BR67" s="26">
        <v>4</v>
      </c>
      <c r="BS67" s="26">
        <v>4</v>
      </c>
      <c r="BT67" s="26">
        <v>4</v>
      </c>
      <c r="BU67" s="26">
        <v>4</v>
      </c>
      <c r="BV67" s="26">
        <v>4</v>
      </c>
      <c r="BW67" s="26">
        <v>4</v>
      </c>
      <c r="BX67" s="26">
        <v>4</v>
      </c>
      <c r="BY67" s="26">
        <v>4</v>
      </c>
      <c r="BZ67" s="26">
        <v>4</v>
      </c>
      <c r="CA67" s="26">
        <v>4</v>
      </c>
      <c r="CB67" s="26">
        <v>4</v>
      </c>
      <c r="CC67" s="26">
        <v>4</v>
      </c>
      <c r="CD67" s="26">
        <v>4</v>
      </c>
      <c r="CE67" s="26">
        <v>4</v>
      </c>
      <c r="CF67" s="26">
        <v>4</v>
      </c>
      <c r="CG67" s="26">
        <v>4</v>
      </c>
      <c r="CH67" s="26">
        <v>4</v>
      </c>
      <c r="CI67" s="26">
        <v>4</v>
      </c>
      <c r="CJ67" s="26">
        <v>4</v>
      </c>
      <c r="CK67" s="26">
        <v>4</v>
      </c>
      <c r="CL67" s="26">
        <v>4</v>
      </c>
      <c r="CM67" s="26">
        <v>4</v>
      </c>
      <c r="CN67" s="26">
        <v>4</v>
      </c>
      <c r="CO67" s="26">
        <v>4</v>
      </c>
      <c r="CP67" s="26">
        <v>4</v>
      </c>
      <c r="CQ67" s="26">
        <v>4</v>
      </c>
      <c r="CR67" s="26">
        <v>4</v>
      </c>
      <c r="CS67" s="26">
        <v>4</v>
      </c>
      <c r="CT67" s="26">
        <v>4</v>
      </c>
      <c r="CU67" s="26">
        <v>4</v>
      </c>
      <c r="CV67" s="26">
        <v>4</v>
      </c>
      <c r="CW67" s="26">
        <v>4</v>
      </c>
      <c r="CX67" s="26">
        <v>4</v>
      </c>
      <c r="CY67" s="26">
        <v>4</v>
      </c>
      <c r="CZ67" s="26">
        <v>4</v>
      </c>
      <c r="DA67" s="26">
        <v>4</v>
      </c>
      <c r="DB67" s="26">
        <v>4</v>
      </c>
      <c r="DC67" s="26">
        <v>4</v>
      </c>
      <c r="DD67" s="26">
        <v>4</v>
      </c>
      <c r="DE67" s="26">
        <v>4</v>
      </c>
      <c r="DF67" s="26">
        <v>4</v>
      </c>
      <c r="DG67" s="26">
        <v>4</v>
      </c>
      <c r="DH67" s="26">
        <v>4</v>
      </c>
      <c r="DI67" s="26">
        <v>4</v>
      </c>
      <c r="DJ67" s="26">
        <v>4</v>
      </c>
      <c r="DK67" s="26">
        <v>4</v>
      </c>
      <c r="DL67" s="26">
        <v>4</v>
      </c>
      <c r="DM67" s="26">
        <v>4</v>
      </c>
      <c r="DN67" s="26">
        <v>4</v>
      </c>
      <c r="DO67" s="26">
        <v>4</v>
      </c>
    </row>
    <row r="68" spans="62:119"/>
    <row r="69" spans="62:119"/>
    <row r="70" spans="62:119"/>
    <row r="71" spans="62:119"/>
    <row r="72" spans="62:119"/>
  </sheetData>
  <sheetProtection selectLockedCells="1"/>
  <mergeCells count="109">
    <mergeCell ref="D1:DP1"/>
    <mergeCell ref="A2:C2"/>
    <mergeCell ref="DH5:DP5"/>
    <mergeCell ref="DH4:DP4"/>
    <mergeCell ref="DH6:DP6"/>
    <mergeCell ref="A3:B3"/>
    <mergeCell ref="A4:B4"/>
    <mergeCell ref="A10:B10"/>
    <mergeCell ref="A9:B9"/>
    <mergeCell ref="A8:B8"/>
    <mergeCell ref="A7:B7"/>
    <mergeCell ref="A6:B6"/>
    <mergeCell ref="A5:B5"/>
    <mergeCell ref="D7:DP7"/>
    <mergeCell ref="DG16:DP16"/>
    <mergeCell ref="DG17:DP17"/>
    <mergeCell ref="DG18:DP18"/>
    <mergeCell ref="DG19:DP19"/>
    <mergeCell ref="DG30:DP30"/>
    <mergeCell ref="DG31:DP31"/>
    <mergeCell ref="DG32:DP32"/>
    <mergeCell ref="DG33:DP33"/>
    <mergeCell ref="DG25:DP25"/>
    <mergeCell ref="DG26:DP26"/>
    <mergeCell ref="DG27:DP27"/>
    <mergeCell ref="DG28:DP28"/>
    <mergeCell ref="DG29:DP29"/>
    <mergeCell ref="CU53:DD53"/>
    <mergeCell ref="BP53:BZ53"/>
    <mergeCell ref="CF38:CL38"/>
    <mergeCell ref="DG37:DP37"/>
    <mergeCell ref="CF37:CL37"/>
    <mergeCell ref="BD37:BN37"/>
    <mergeCell ref="CB43:CL43"/>
    <mergeCell ref="DG43:DP43"/>
    <mergeCell ref="BU55:DD55"/>
    <mergeCell ref="CB47:CO47"/>
    <mergeCell ref="BO47:CA47"/>
    <mergeCell ref="BB47:BN47"/>
    <mergeCell ref="BU56:CN56"/>
    <mergeCell ref="CO56:DD56"/>
    <mergeCell ref="BU57:CN57"/>
    <mergeCell ref="CO57:DD57"/>
    <mergeCell ref="O46:BA46"/>
    <mergeCell ref="BB46:BN46"/>
    <mergeCell ref="BO46:CA46"/>
    <mergeCell ref="CB46:CO46"/>
    <mergeCell ref="CP46:DD46"/>
    <mergeCell ref="BO49:CA49"/>
    <mergeCell ref="BO50:CA50"/>
    <mergeCell ref="BO51:CA51"/>
    <mergeCell ref="BO52:CA52"/>
    <mergeCell ref="CP48:DD48"/>
    <mergeCell ref="CP49:DD49"/>
    <mergeCell ref="CP50:DD50"/>
    <mergeCell ref="CP51:DD51"/>
    <mergeCell ref="CP52:DD52"/>
    <mergeCell ref="CB48:CO48"/>
    <mergeCell ref="CB49:CO49"/>
    <mergeCell ref="CB50:CO50"/>
    <mergeCell ref="CB51:CO51"/>
    <mergeCell ref="CB52:CO52"/>
    <mergeCell ref="CP47:DD47"/>
    <mergeCell ref="O47:BA47"/>
    <mergeCell ref="BB52:BN52"/>
    <mergeCell ref="BO48:CA48"/>
    <mergeCell ref="E41:DF42"/>
    <mergeCell ref="DG41:DP42"/>
    <mergeCell ref="DG40:DP40"/>
    <mergeCell ref="E40:DF40"/>
    <mergeCell ref="E31:DF32"/>
    <mergeCell ref="E33:DF34"/>
    <mergeCell ref="E35:DF36"/>
    <mergeCell ref="DG35:DP35"/>
    <mergeCell ref="DG36:DP36"/>
    <mergeCell ref="O52:BA52"/>
    <mergeCell ref="O51:BA51"/>
    <mergeCell ref="O50:BA50"/>
    <mergeCell ref="O49:BA49"/>
    <mergeCell ref="O48:BA48"/>
    <mergeCell ref="BB48:BN48"/>
    <mergeCell ref="BB49:BN49"/>
    <mergeCell ref="BB50:BN50"/>
    <mergeCell ref="BB51:BN51"/>
    <mergeCell ref="DG34:DP34"/>
    <mergeCell ref="E15:DF16"/>
    <mergeCell ref="E29:DF30"/>
    <mergeCell ref="E17:DF18"/>
    <mergeCell ref="E19:DF20"/>
    <mergeCell ref="E21:DF22"/>
    <mergeCell ref="E23:DF24"/>
    <mergeCell ref="E25:DF26"/>
    <mergeCell ref="E27:DF28"/>
    <mergeCell ref="D2:DP3"/>
    <mergeCell ref="D8:DP8"/>
    <mergeCell ref="E13:DF14"/>
    <mergeCell ref="DG10:DP10"/>
    <mergeCell ref="E10:DF10"/>
    <mergeCell ref="E11:DF12"/>
    <mergeCell ref="DG11:DP11"/>
    <mergeCell ref="DG12:DP12"/>
    <mergeCell ref="DG13:DP13"/>
    <mergeCell ref="DG14:DP14"/>
    <mergeCell ref="DG20:DP20"/>
    <mergeCell ref="DG21:DP21"/>
    <mergeCell ref="DG22:DP22"/>
    <mergeCell ref="DG23:DP23"/>
    <mergeCell ref="DG24:DP24"/>
    <mergeCell ref="DG15:DP15"/>
  </mergeCells>
  <conditionalFormatting sqref="DG11:DP11 DG13:DP13 DG15:DP15 DG17:DP17 DG19:DP19 DG21:DP21 DG23:DP23 DG27:DP27 DG29:DP29 DG33:DP33 DG35:DP35">
    <cfRule type="cellIs" dxfId="13" priority="16" stopIfTrue="1" operator="greaterThanOrEqual">
      <formula>0.8</formula>
    </cfRule>
  </conditionalFormatting>
  <conditionalFormatting sqref="DG11:DP11 DG13:DP13 DG15:DP15 DG17:DP17 DG19:DP19 DG21:DP21 DG23:DP23 DG27:DP27 DG29:DP29 DG33:DP33 DG35:DP35 DG25:DP25 DG31:DP31">
    <cfRule type="cellIs" dxfId="12" priority="17" stopIfTrue="1" operator="between">
      <formula>0.5</formula>
      <formula>0.7999</formula>
    </cfRule>
    <cfRule type="cellIs" dxfId="11" priority="19" stopIfTrue="1" operator="lessThan">
      <formula>0.5</formula>
    </cfRule>
  </conditionalFormatting>
  <conditionalFormatting sqref="DG25:DP25">
    <cfRule type="cellIs" dxfId="10" priority="15" stopIfTrue="1" operator="greaterThanOrEqual">
      <formula>0.8</formula>
    </cfRule>
  </conditionalFormatting>
  <conditionalFormatting sqref="DG12:DP12 DG14:DP14 DG16:DP16 DG18:DP18 DG20:DP20 DG22:DP22 DG24:DP24 DG26:DP26 DG28:DP28 DG30:DP30 DG32:DP32 DG34:DP34 DG36:DP36">
    <cfRule type="cellIs" dxfId="9" priority="12" operator="greaterThanOrEqual">
      <formula>1.6</formula>
    </cfRule>
    <cfRule type="cellIs" dxfId="8" priority="13" operator="between">
      <formula>1</formula>
      <formula>1.6</formula>
    </cfRule>
    <cfRule type="cellIs" dxfId="7" priority="14" operator="lessThan">
      <formula>1</formula>
    </cfRule>
  </conditionalFormatting>
  <conditionalFormatting sqref="DG31:DP31">
    <cfRule type="cellIs" dxfId="6" priority="11" stopIfTrue="1" operator="greaterThanOrEqual">
      <formula>0.8</formula>
    </cfRule>
  </conditionalFormatting>
  <conditionalFormatting sqref="DG41">
    <cfRule type="containsText" dxfId="5" priority="8" stopIfTrue="1" operator="containsText" text="ótimo">
      <formula>NOT(ISERROR(SEARCH("ótimo",DG41)))</formula>
    </cfRule>
  </conditionalFormatting>
  <conditionalFormatting sqref="DG41">
    <cfRule type="containsText" dxfId="4" priority="9" stopIfTrue="1" operator="containsText" text="bom">
      <formula>NOT(ISERROR(SEARCH("bom",DG41)))</formula>
    </cfRule>
    <cfRule type="containsText" dxfId="3" priority="10" stopIfTrue="1" operator="containsText" text="ruim">
      <formula>NOT(ISERROR(SEARCH("ruim",DG41)))</formula>
    </cfRule>
  </conditionalFormatting>
  <conditionalFormatting sqref="C3:C10">
    <cfRule type="containsBlanks" dxfId="2" priority="4">
      <formula>LEN(TRIM(C3))=0</formula>
    </cfRule>
  </conditionalFormatting>
  <conditionalFormatting sqref="D1">
    <cfRule type="containsText" dxfId="1" priority="3" operator="containsText" text="campos">
      <formula>NOT(ISERROR(SEARCH("campos",D1)))</formula>
    </cfRule>
  </conditionalFormatting>
  <conditionalFormatting sqref="D7">
    <cfRule type="notContainsBlanks" dxfId="0" priority="20">
      <formula>LEN(TRIM(D7))&gt;0</formula>
    </cfRule>
  </conditionalFormatting>
  <dataValidations count="1">
    <dataValidation allowBlank="1" showInputMessage="1" showErrorMessage="1" sqref="DG41:DP42" xr:uid="{00000000-0002-0000-0E00-000000000000}"/>
  </dataValidations>
  <printOptions horizontalCentered="1"/>
  <pageMargins left="0" right="0" top="0.39370078740157483" bottom="0" header="0.31496062992125984" footer="0.31496062992125984"/>
  <pageSetup paperSize="9" scale="98" orientation="portrait" r:id="rId1"/>
  <headerFooter>
    <oddHeader>&amp;C&amp;12GRUPO SPACE INFORMÁTICA - AVALIAÇÃO MENSAL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AlteraColaborador">
                <anchor moveWithCells="1">
                  <from>
                    <xdr:col>64</xdr:col>
                    <xdr:colOff>19050</xdr:colOff>
                    <xdr:row>3</xdr:row>
                    <xdr:rowOff>133350</xdr:rowOff>
                  </from>
                  <to>
                    <xdr:col>91</xdr:col>
                    <xdr:colOff>9525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tuliza">
                <anchor moveWithCells="1" sizeWithCells="1">
                  <from>
                    <xdr:col>120</xdr:col>
                    <xdr:colOff>257175</xdr:colOff>
                    <xdr:row>1</xdr:row>
                    <xdr:rowOff>152400</xdr:rowOff>
                  </from>
                  <to>
                    <xdr:col>121</xdr:col>
                    <xdr:colOff>600075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/>
  <dimension ref="A1"/>
  <sheetViews>
    <sheetView topLeftCell="A4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864CC1-D77A-455E-9ABD-8C47B9D82F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2</vt:i4>
      </vt:variant>
    </vt:vector>
  </HeadingPairs>
  <TitlesOfParts>
    <vt:vector size="18" baseType="lpstr">
      <vt:lpstr>Planilha1</vt:lpstr>
      <vt:lpstr>Media Operador x Criterio</vt:lpstr>
      <vt:lpstr>Soma Media Operador x Criterio</vt:lpstr>
      <vt:lpstr>AuxCriterios</vt:lpstr>
      <vt:lpstr>% Aproveitamento geral</vt:lpstr>
      <vt:lpstr>Validacoes</vt:lpstr>
      <vt:lpstr>Parametros</vt:lpstr>
      <vt:lpstr>Quantitativo</vt:lpstr>
      <vt:lpstr>MetaPri</vt:lpstr>
      <vt:lpstr>Estrelinhas</vt:lpstr>
      <vt:lpstr>--------------------------</vt:lpstr>
      <vt:lpstr>-------------------------------</vt:lpstr>
      <vt:lpstr>DimOperador</vt:lpstr>
      <vt:lpstr>Operador - Lançamentos Manuais</vt:lpstr>
      <vt:lpstr>Report Fechamento</vt:lpstr>
      <vt:lpstr>Planilha2</vt:lpstr>
      <vt:lpstr>Planilha1!Area_de_impressao</vt:lpstr>
      <vt:lpstr>'Report Fechamento'!Area_de_impressao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Thais</dc:creator>
  <cp:keywords/>
  <dc:description/>
  <cp:lastModifiedBy>Daniel Sammy - Space Informática</cp:lastModifiedBy>
  <cp:revision/>
  <cp:lastPrinted>2025-06-26T19:15:46Z</cp:lastPrinted>
  <dcterms:created xsi:type="dcterms:W3CDTF">2023-03-05T19:25:14Z</dcterms:created>
  <dcterms:modified xsi:type="dcterms:W3CDTF">2025-07-23T12:53:43Z</dcterms:modified>
  <cp:category/>
  <cp:contentStatus/>
</cp:coreProperties>
</file>